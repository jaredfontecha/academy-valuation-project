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red/Desktop/academy-valuation-project/models/"/>
    </mc:Choice>
  </mc:AlternateContent>
  <xr:revisionPtr revIDLastSave="0" documentId="13_ncr:2001_{D86148ED-59B1-2345-B10F-F2BDFFB79998}" xr6:coauthVersionLast="47" xr6:coauthVersionMax="47" xr10:uidLastSave="{00000000-0000-0000-0000-000000000000}"/>
  <bookViews>
    <workbookView xWindow="0" yWindow="0" windowWidth="10420" windowHeight="18000" activeTab="2" xr2:uid="{36D702DA-7A30-D243-9583-73FEBFEC9D4D}"/>
  </bookViews>
  <sheets>
    <sheet name="Cover" sheetId="1" r:id="rId1"/>
    <sheet name="Sources" sheetId="2" r:id="rId2"/>
    <sheet name="Historicals" sheetId="3" r:id="rId3"/>
    <sheet name="Assumptions" sheetId="4" r:id="rId4"/>
    <sheet name="Operating Model" sheetId="5" r:id="rId5"/>
    <sheet name="3-Statement" sheetId="6" r:id="rId6"/>
    <sheet name="DCF" sheetId="7" r:id="rId7"/>
    <sheet name="Comps" sheetId="8" r:id="rId8"/>
    <sheet name="LBO" sheetId="9" r:id="rId9"/>
    <sheet name="Checks" sheetId="10" r:id="rId10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9" i="3" l="1"/>
  <c r="C84" i="3"/>
  <c r="D84" i="3"/>
  <c r="C69" i="3"/>
  <c r="B89" i="3"/>
  <c r="B88" i="3"/>
  <c r="B86" i="3"/>
  <c r="B84" i="3"/>
  <c r="C74" i="3"/>
  <c r="C86" i="3" s="1"/>
  <c r="C88" i="3" s="1"/>
  <c r="C89" i="3" s="1"/>
  <c r="D74" i="3"/>
  <c r="B74" i="3"/>
  <c r="B69" i="3"/>
  <c r="C62" i="3"/>
  <c r="D62" i="3"/>
  <c r="B62" i="3"/>
  <c r="D55" i="3"/>
  <c r="C58" i="3"/>
  <c r="C56" i="3"/>
  <c r="C55" i="3"/>
  <c r="B58" i="3"/>
  <c r="B56" i="3"/>
  <c r="B55" i="3"/>
  <c r="B50" i="3"/>
  <c r="C44" i="3"/>
  <c r="C50" i="3" s="1"/>
  <c r="D44" i="3"/>
  <c r="D50" i="3" s="1"/>
  <c r="B44" i="3"/>
  <c r="D28" i="3"/>
  <c r="D35" i="3" s="1"/>
  <c r="D58" i="3" s="1"/>
  <c r="C35" i="3"/>
  <c r="C28" i="3"/>
  <c r="B35" i="3"/>
  <c r="B28" i="3"/>
  <c r="B17" i="3"/>
  <c r="C17" i="3"/>
  <c r="D17" i="3"/>
  <c r="C15" i="3"/>
  <c r="D15" i="3"/>
  <c r="B15" i="3"/>
  <c r="C13" i="3"/>
  <c r="D13" i="3"/>
  <c r="B13" i="3"/>
  <c r="C9" i="3"/>
  <c r="D9" i="3"/>
  <c r="B9" i="3"/>
  <c r="C7" i="3"/>
  <c r="D7" i="3"/>
  <c r="B7" i="3"/>
  <c r="D86" i="3" l="1"/>
  <c r="D88" i="3" s="1"/>
  <c r="D89" i="3" s="1"/>
  <c r="D56" i="3"/>
</calcChain>
</file>

<file path=xl/sharedStrings.xml><?xml version="1.0" encoding="utf-8"?>
<sst xmlns="http://schemas.openxmlformats.org/spreadsheetml/2006/main" count="129" uniqueCount="117">
  <si>
    <t>Academy Sports + Outdoors Valuation Model</t>
  </si>
  <si>
    <t>Company</t>
  </si>
  <si>
    <t>Academy Sports and Outdoors, Inc.</t>
  </si>
  <si>
    <t>Ticker</t>
  </si>
  <si>
    <t>ASO</t>
  </si>
  <si>
    <t>Currency</t>
  </si>
  <si>
    <t>USD in millions, except per-share data</t>
  </si>
  <si>
    <t>Historical Period</t>
  </si>
  <si>
    <t>Forecast Period</t>
  </si>
  <si>
    <t>Fiscal Year End</t>
  </si>
  <si>
    <t>Saturday closest to January 31</t>
  </si>
  <si>
    <t>Scenario</t>
  </si>
  <si>
    <t>Base Case</t>
  </si>
  <si>
    <t>Prepared By</t>
  </si>
  <si>
    <t>Model Version</t>
  </si>
  <si>
    <t>Purpose</t>
  </si>
  <si>
    <t>Three-statement, DCF, comparable-company, and LBO analysis of Academy Sports + Outdoors.</t>
  </si>
  <si>
    <t>Fiscal 2023-Fiscal 2025</t>
  </si>
  <si>
    <t>Fiscal 2026E-Fiscal 2030E</t>
  </si>
  <si>
    <t>Jared Tyler Fontecha</t>
  </si>
  <si>
    <t>Sources and Audit Trail</t>
  </si>
  <si>
    <t>Source ID</t>
  </si>
  <si>
    <t>Document</t>
  </si>
  <si>
    <t>Filing Type</t>
  </si>
  <si>
    <t>Fiscal Period</t>
  </si>
  <si>
    <t>Filing Date</t>
  </si>
  <si>
    <t>Local File</t>
  </si>
  <si>
    <t>URL</t>
  </si>
  <si>
    <t>Used For</t>
  </si>
  <si>
    <t>Notes</t>
  </si>
  <si>
    <t>S1</t>
  </si>
  <si>
    <t>Academy Sports + Outdoors 2025 Annual Report</t>
  </si>
  <si>
    <t>10-K</t>
  </si>
  <si>
    <t>Fiscal 2025</t>
  </si>
  <si>
    <t>data/raw/academy_2025_10k.pdf</t>
  </si>
  <si>
    <t>https://investors.academy.com/static-files/62169eba-0019-4a9b-88d1-42e713a679f5</t>
  </si>
  <si>
    <t>Company overview and historical financial statements</t>
  </si>
  <si>
    <t>Fiscal year ended Jan 31. 2026</t>
  </si>
  <si>
    <t>Academy Sports + Outdoors Historical Financials</t>
  </si>
  <si>
    <t>Income Statement ($ in millions)</t>
  </si>
  <si>
    <t>2023A</t>
  </si>
  <si>
    <t>2024A</t>
  </si>
  <si>
    <t>2025A</t>
  </si>
  <si>
    <t>Net Sales</t>
  </si>
  <si>
    <t>Cost of Goods Sold</t>
  </si>
  <si>
    <t>Gross Margin</t>
  </si>
  <si>
    <t>Selling, General and Administrative Expenses</t>
  </si>
  <si>
    <t>Operating Income</t>
  </si>
  <si>
    <t>Interest Expense, Net</t>
  </si>
  <si>
    <t>Write-Off of Deferred Loan Costs</t>
  </si>
  <si>
    <t>Other Income, Net</t>
  </si>
  <si>
    <t>Income Before Income Taxes</t>
  </si>
  <si>
    <t>Income Tax Expense</t>
  </si>
  <si>
    <t>Net Income</t>
  </si>
  <si>
    <t>Diluted Earings Per Share</t>
  </si>
  <si>
    <t>Diluted Weighted Average Shares</t>
  </si>
  <si>
    <t>S2</t>
  </si>
  <si>
    <t>Fiscal 2024</t>
  </si>
  <si>
    <t>data/raw/academy_2024_10k.pdf</t>
  </si>
  <si>
    <t>https://investors.academy.com/static-files/b6761f64-ddd4-4b84-baf8-8c1274e4e5f9</t>
  </si>
  <si>
    <t>Fiscal 2023 balance sheet</t>
  </si>
  <si>
    <t>Fiscal year ended February 1, 2025</t>
  </si>
  <si>
    <t>Blance Sheet ($ in millions)</t>
  </si>
  <si>
    <t>Cash and Cash Equivalents</t>
  </si>
  <si>
    <t>Accounts Receivable</t>
  </si>
  <si>
    <t>Merchandise Inventories</t>
  </si>
  <si>
    <t>Prepaid Expenses and Other Current Assets</t>
  </si>
  <si>
    <t>Assets Held for Sale</t>
  </si>
  <si>
    <t>Total Current Assets</t>
  </si>
  <si>
    <t>Property and Equipment, Net</t>
  </si>
  <si>
    <t>Right-of-Use Assets</t>
  </si>
  <si>
    <t>Trade Name</t>
  </si>
  <si>
    <t>Goodwill</t>
  </si>
  <si>
    <t>Other Noncurrent Assets</t>
  </si>
  <si>
    <t>Total Assets</t>
  </si>
  <si>
    <t>Liabilities and Stockholders' Equity</t>
  </si>
  <si>
    <t>Accounts Payable</t>
  </si>
  <si>
    <t>Accured Expenses and Other Current Liabilities</t>
  </si>
  <si>
    <t>Current Lease Liabilities</t>
  </si>
  <si>
    <t>Current Maturities of Long-Term Debt</t>
  </si>
  <si>
    <t>Total Current Liabilities</t>
  </si>
  <si>
    <t>Long-Term Debt, Net</t>
  </si>
  <si>
    <t>Long-Term Lease Liabilities</t>
  </si>
  <si>
    <t>Deferred Tax Liabilities, Net</t>
  </si>
  <si>
    <t>Other Long-Term Liabilities</t>
  </si>
  <si>
    <t>Total Liabilities</t>
  </si>
  <si>
    <t>Common Stock</t>
  </si>
  <si>
    <t>Additional Paid-In Capital</t>
  </si>
  <si>
    <t>Retained Earnings</t>
  </si>
  <si>
    <t>Stockholders' Equity</t>
  </si>
  <si>
    <t>Total Liabilities and Stockholders' Equity</t>
  </si>
  <si>
    <t>Balance Check</t>
  </si>
  <si>
    <t>Cash Flow Statement</t>
  </si>
  <si>
    <t>Depreciation and Amortization</t>
  </si>
  <si>
    <t>Nocash Lease Expense</t>
  </si>
  <si>
    <t>Equity Compensation</t>
  </si>
  <si>
    <t>Deferred Income Taxes</t>
  </si>
  <si>
    <t>Other Nocash Items</t>
  </si>
  <si>
    <t xml:space="preserve">Changes in Operating Assets and Liabilities </t>
  </si>
  <si>
    <t>Net Cash Provided by Operating Activities</t>
  </si>
  <si>
    <t>Captial Expendetures</t>
  </si>
  <si>
    <t>Purchases of Intangible Assets</t>
  </si>
  <si>
    <t>Proceeds from Sale of Property and Equipment</t>
  </si>
  <si>
    <t>Net Cash Used in Investing Activities</t>
  </si>
  <si>
    <t>Borrowings Under Revolving Credit Facility</t>
  </si>
  <si>
    <t>Repayments of Revolving Credit Facility</t>
  </si>
  <si>
    <t>Repayment of Term Loan</t>
  </si>
  <si>
    <t>Debt Issuance Fees</t>
  </si>
  <si>
    <t>Proceeds from Stock Options and Employee Stock Plan</t>
  </si>
  <si>
    <t>Repurchases of Common Stock</t>
  </si>
  <si>
    <t>Dividends Paid</t>
  </si>
  <si>
    <t>Other Financing Activities</t>
  </si>
  <si>
    <t>Net Cash Used in Financing Activities</t>
  </si>
  <si>
    <t>Net Change in Cash</t>
  </si>
  <si>
    <t>Cash and Cash Equivalents, Beginning</t>
  </si>
  <si>
    <t>Cash and Cash Equivalents, Ending</t>
  </si>
  <si>
    <t>Cash Flow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</si>
</sst>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2"/>
      <color theme="1"/>
      <name val="Aptos Narrow"/>
      <family val="2"/>
      <scheme val="minor"/>
    </font>
    <font>
      <b/>
      <sz val="16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Aptos Narrow"/>
      <scheme val="minor"/>
    </font>
    <font>
      <b/>
      <sz val="14"/>
      <color theme="0"/>
      <name val="Aptos Narrow"/>
      <scheme val="minor"/>
    </font>
    <font>
      <sz val="12"/>
      <color rgb="FF0070C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3" fillId="2" borderId="0" xfId="0" applyFont="1" applyFill="1"/>
    <xf numFmtId="0" fontId="3" fillId="0" borderId="0" xfId="0" applyFont="1"/>
    <xf numFmtId="0" fontId="1" fillId="0" borderId="0" xfId="0" applyFont="1"/>
    <xf numFmtId="0" fontId="3" fillId="2" borderId="1" xfId="0" applyFont="1" applyFill="1" applyBorder="1"/>
    <xf numFmtId="164" fontId="0" fillId="0" borderId="1" xfId="0" quotePrefix="1" applyNumberFormat="1" applyBorder="1" applyAlignment="1">
      <alignment horizontal="left"/>
    </xf>
    <xf numFmtId="0" fontId="3" fillId="2" borderId="2" xfId="0" applyFont="1" applyFill="1" applyBorder="1"/>
    <xf numFmtId="0" fontId="0" fillId="0" borderId="2" xfId="0" applyBorder="1"/>
    <xf numFmtId="0" fontId="0" fillId="0" borderId="3" xfId="0" applyBorder="1" applyAlignment="1">
      <alignment wrapText="1"/>
    </xf>
    <xf numFmtId="0" fontId="2" fillId="2" borderId="4" xfId="0" applyFont="1" applyFill="1" applyBorder="1" applyAlignment="1">
      <alignment wrapText="1"/>
    </xf>
    <xf numFmtId="0" fontId="0" fillId="0" borderId="4" xfId="0" applyBorder="1" applyAlignment="1">
      <alignment horizontal="center"/>
    </xf>
    <xf numFmtId="0" fontId="0" fillId="0" borderId="4" xfId="0" applyBorder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5" fillId="0" borderId="0" xfId="0" applyFont="1"/>
    <xf numFmtId="2" fontId="0" fillId="0" borderId="0" xfId="0" applyNumberFormat="1"/>
    <xf numFmtId="0" fontId="6" fillId="0" borderId="4" xfId="1" applyBorder="1" applyAlignment="1">
      <alignment wrapText="1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0" borderId="0" xfId="0" quotePrefix="1" applyFont="1"/>
    <xf numFmtId="4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investors.academy.com/static-files/62169eba-0019-4a9b-88d1-42e713a679f5" TargetMode="External"/><Relationship Id="rId1" Type="http://schemas.openxmlformats.org/officeDocument/2006/relationships/hyperlink" Target="https://investors.academy.com/static-files/b6761f64-ddd4-4b84-baf8-8c1274e4e5f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B0991-6232-7043-A72D-4274ABC2C193}">
  <dimension ref="A1:F14"/>
  <sheetViews>
    <sheetView showGridLines="0" zoomScaleNormal="100" workbookViewId="0">
      <selection activeCell="B24" sqref="B24"/>
    </sheetView>
  </sheetViews>
  <sheetFormatPr baseColWidth="10" defaultRowHeight="16" x14ac:dyDescent="0.2"/>
  <cols>
    <col min="1" max="1" width="20.83203125" customWidth="1"/>
    <col min="2" max="2" width="66" customWidth="1"/>
  </cols>
  <sheetData>
    <row r="1" spans="1:6" ht="16" customHeight="1" x14ac:dyDescent="0.3">
      <c r="A1" s="17" t="s">
        <v>0</v>
      </c>
      <c r="B1" s="17"/>
      <c r="C1" s="3"/>
      <c r="D1" s="3"/>
      <c r="E1" s="3"/>
      <c r="F1" s="3"/>
    </row>
    <row r="2" spans="1:6" ht="16" customHeight="1" x14ac:dyDescent="0.3">
      <c r="A2" s="17"/>
      <c r="B2" s="17"/>
      <c r="C2" s="3"/>
      <c r="D2" s="3"/>
      <c r="E2" s="3"/>
      <c r="F2" s="3"/>
    </row>
    <row r="4" spans="1:6" x14ac:dyDescent="0.2">
      <c r="A4" s="6" t="s">
        <v>1</v>
      </c>
      <c r="B4" s="7" t="s">
        <v>2</v>
      </c>
    </row>
    <row r="5" spans="1:6" x14ac:dyDescent="0.2">
      <c r="A5" s="1" t="s">
        <v>3</v>
      </c>
      <c r="B5" t="s">
        <v>4</v>
      </c>
    </row>
    <row r="6" spans="1:6" x14ac:dyDescent="0.2">
      <c r="A6" s="1" t="s">
        <v>5</v>
      </c>
      <c r="B6" t="s">
        <v>6</v>
      </c>
    </row>
    <row r="7" spans="1:6" x14ac:dyDescent="0.2">
      <c r="A7" s="1" t="s">
        <v>7</v>
      </c>
      <c r="B7" t="s">
        <v>17</v>
      </c>
    </row>
    <row r="8" spans="1:6" x14ac:dyDescent="0.2">
      <c r="A8" s="1" t="s">
        <v>8</v>
      </c>
      <c r="B8" t="s">
        <v>18</v>
      </c>
    </row>
    <row r="9" spans="1:6" x14ac:dyDescent="0.2">
      <c r="A9" s="1" t="s">
        <v>9</v>
      </c>
      <c r="B9" t="s">
        <v>10</v>
      </c>
    </row>
    <row r="10" spans="1:6" x14ac:dyDescent="0.2">
      <c r="A10" s="1" t="s">
        <v>11</v>
      </c>
      <c r="B10" t="s">
        <v>12</v>
      </c>
    </row>
    <row r="11" spans="1:6" x14ac:dyDescent="0.2">
      <c r="A11" s="1" t="s">
        <v>13</v>
      </c>
      <c r="B11" t="s">
        <v>19</v>
      </c>
    </row>
    <row r="12" spans="1:6" x14ac:dyDescent="0.2">
      <c r="A12" s="4" t="s">
        <v>14</v>
      </c>
      <c r="B12" s="5">
        <v>1</v>
      </c>
    </row>
    <row r="13" spans="1:6" x14ac:dyDescent="0.2">
      <c r="A13" s="2"/>
    </row>
    <row r="14" spans="1:6" ht="34" x14ac:dyDescent="0.2">
      <c r="A14" s="1" t="s">
        <v>15</v>
      </c>
      <c r="B14" s="8" t="s">
        <v>16</v>
      </c>
    </row>
  </sheetData>
  <mergeCells count="1">
    <mergeCell ref="A1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6351-7F30-C94A-8EE0-6DCE1A7E22C9}">
  <dimension ref="A1:I5"/>
  <sheetViews>
    <sheetView showGridLines="0" workbookViewId="0">
      <selection activeCell="E13" sqref="E13"/>
    </sheetView>
  </sheetViews>
  <sheetFormatPr baseColWidth="10" defaultRowHeight="16" x14ac:dyDescent="0.2"/>
  <cols>
    <col min="1" max="1" width="11.83203125" customWidth="1"/>
    <col min="2" max="2" width="19.33203125" customWidth="1"/>
    <col min="6" max="6" width="29.1640625" customWidth="1"/>
    <col min="7" max="7" width="45.83203125" customWidth="1"/>
    <col min="8" max="8" width="36" customWidth="1"/>
    <col min="9" max="9" width="25.33203125" customWidth="1"/>
  </cols>
  <sheetData>
    <row r="1" spans="1:9" ht="19" x14ac:dyDescent="0.25">
      <c r="A1" s="18" t="s">
        <v>20</v>
      </c>
      <c r="B1" s="18"/>
      <c r="C1" s="18"/>
      <c r="D1" s="18"/>
      <c r="E1" s="18"/>
      <c r="F1" s="18"/>
      <c r="G1" s="18"/>
      <c r="H1" s="18"/>
      <c r="I1" s="18"/>
    </row>
    <row r="3" spans="1:9" ht="34" x14ac:dyDescent="0.2">
      <c r="A3" s="9" t="s">
        <v>21</v>
      </c>
      <c r="B3" s="9" t="s">
        <v>22</v>
      </c>
      <c r="C3" s="9" t="s">
        <v>23</v>
      </c>
      <c r="D3" s="9" t="s">
        <v>24</v>
      </c>
      <c r="E3" s="9" t="s">
        <v>25</v>
      </c>
      <c r="F3" s="9" t="s">
        <v>26</v>
      </c>
      <c r="G3" s="9" t="s">
        <v>27</v>
      </c>
      <c r="H3" s="9" t="s">
        <v>28</v>
      </c>
      <c r="I3" s="9" t="s">
        <v>29</v>
      </c>
    </row>
    <row r="4" spans="1:9" ht="51" x14ac:dyDescent="0.2">
      <c r="A4" s="10" t="s">
        <v>30</v>
      </c>
      <c r="B4" s="13" t="s">
        <v>31</v>
      </c>
      <c r="C4" s="10" t="s">
        <v>32</v>
      </c>
      <c r="D4" s="10" t="s">
        <v>33</v>
      </c>
      <c r="E4" s="12">
        <v>46098</v>
      </c>
      <c r="F4" s="11" t="s">
        <v>34</v>
      </c>
      <c r="G4" s="16" t="s">
        <v>35</v>
      </c>
      <c r="H4" s="13" t="s">
        <v>36</v>
      </c>
      <c r="I4" s="13" t="s">
        <v>37</v>
      </c>
    </row>
    <row r="5" spans="1:9" ht="51" x14ac:dyDescent="0.2">
      <c r="A5" s="10" t="s">
        <v>56</v>
      </c>
      <c r="B5" s="13" t="s">
        <v>31</v>
      </c>
      <c r="C5" s="10" t="s">
        <v>32</v>
      </c>
      <c r="D5" s="10" t="s">
        <v>57</v>
      </c>
      <c r="E5" s="12">
        <v>45736</v>
      </c>
      <c r="F5" s="11" t="s">
        <v>58</v>
      </c>
      <c r="G5" s="16" t="s">
        <v>59</v>
      </c>
      <c r="H5" s="13" t="s">
        <v>60</v>
      </c>
      <c r="I5" s="13" t="s">
        <v>61</v>
      </c>
    </row>
  </sheetData>
  <mergeCells count="1">
    <mergeCell ref="A1:I1"/>
  </mergeCells>
  <hyperlinks>
    <hyperlink ref="G5" r:id="rId1" xr:uid="{33F5D60F-B556-9C47-857F-325C5261B377}"/>
    <hyperlink ref="G4" r:id="rId2" xr:uid="{E591E186-BEA8-C340-860E-3799DDDD9FF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90C78-4683-314D-B7FC-02EBE781CE7D}">
  <dimension ref="A1:D89"/>
  <sheetViews>
    <sheetView tabSelected="1" workbookViewId="0">
      <selection activeCell="C87" sqref="C87"/>
    </sheetView>
  </sheetViews>
  <sheetFormatPr baseColWidth="10" defaultRowHeight="16" x14ac:dyDescent="0.2"/>
  <cols>
    <col min="1" max="1" width="39" customWidth="1"/>
    <col min="2" max="4" width="11.6640625" bestFit="1" customWidth="1"/>
  </cols>
  <sheetData>
    <row r="1" spans="1:4" x14ac:dyDescent="0.2">
      <c r="A1" t="s">
        <v>38</v>
      </c>
    </row>
    <row r="3" spans="1:4" x14ac:dyDescent="0.2">
      <c r="A3" t="s">
        <v>39</v>
      </c>
    </row>
    <row r="4" spans="1:4" x14ac:dyDescent="0.2">
      <c r="B4" t="s">
        <v>40</v>
      </c>
      <c r="C4" t="s">
        <v>41</v>
      </c>
      <c r="D4" t="s">
        <v>42</v>
      </c>
    </row>
    <row r="5" spans="1:4" x14ac:dyDescent="0.2">
      <c r="A5" t="s">
        <v>43</v>
      </c>
      <c r="B5" s="14">
        <v>6159.2910000000002</v>
      </c>
      <c r="C5" s="14">
        <v>5933.45</v>
      </c>
      <c r="D5" s="14">
        <v>6053.4139999999998</v>
      </c>
    </row>
    <row r="6" spans="1:4" x14ac:dyDescent="0.2">
      <c r="A6" t="s">
        <v>44</v>
      </c>
      <c r="B6" s="14">
        <v>4049.08</v>
      </c>
      <c r="C6" s="14">
        <v>3921.99</v>
      </c>
      <c r="D6" s="14">
        <v>3947.8009999999999</v>
      </c>
    </row>
    <row r="7" spans="1:4" x14ac:dyDescent="0.2">
      <c r="A7" t="s">
        <v>45</v>
      </c>
      <c r="B7">
        <f>B5-B6</f>
        <v>2110.2110000000002</v>
      </c>
      <c r="C7">
        <f>C5-C6</f>
        <v>2011.46</v>
      </c>
      <c r="D7">
        <f>D5-D6</f>
        <v>2105.6129999999998</v>
      </c>
    </row>
    <row r="8" spans="1:4" x14ac:dyDescent="0.2">
      <c r="A8" t="s">
        <v>46</v>
      </c>
      <c r="B8" s="14">
        <v>1432.356</v>
      </c>
      <c r="C8" s="14">
        <v>1472.8209999999999</v>
      </c>
      <c r="D8" s="14">
        <v>1593.4290000000001</v>
      </c>
    </row>
    <row r="9" spans="1:4" x14ac:dyDescent="0.2">
      <c r="A9" t="s">
        <v>47</v>
      </c>
      <c r="B9">
        <f>B7-B8</f>
        <v>677.85500000000025</v>
      </c>
      <c r="C9">
        <f>C7-C8</f>
        <v>538.63900000000012</v>
      </c>
      <c r="D9">
        <f>D7-D8</f>
        <v>512.18399999999974</v>
      </c>
    </row>
    <row r="10" spans="1:4" x14ac:dyDescent="0.2">
      <c r="A10" t="s">
        <v>48</v>
      </c>
      <c r="B10" s="14">
        <v>46.051000000000002</v>
      </c>
      <c r="C10" s="14">
        <v>36.872999999999998</v>
      </c>
      <c r="D10" s="14">
        <v>36.213999999999999</v>
      </c>
    </row>
    <row r="11" spans="1:4" x14ac:dyDescent="0.2">
      <c r="A11" t="s">
        <v>49</v>
      </c>
      <c r="B11" s="14">
        <v>1.5249999999999999</v>
      </c>
      <c r="C11" s="14">
        <v>0.44900000000000001</v>
      </c>
      <c r="D11" s="14">
        <v>0</v>
      </c>
    </row>
    <row r="12" spans="1:4" x14ac:dyDescent="0.2">
      <c r="A12" t="s">
        <v>50</v>
      </c>
      <c r="B12" s="14">
        <v>32.877000000000002</v>
      </c>
      <c r="C12" s="14">
        <v>36.908000000000001</v>
      </c>
      <c r="D12" s="14">
        <v>10.087</v>
      </c>
    </row>
    <row r="13" spans="1:4" x14ac:dyDescent="0.2">
      <c r="A13" t="s">
        <v>51</v>
      </c>
      <c r="B13">
        <f>B9-B10-B11+B12</f>
        <v>663.15600000000018</v>
      </c>
      <c r="C13">
        <f>C9-C10-C11+C12</f>
        <v>538.22500000000014</v>
      </c>
      <c r="D13">
        <f>D9-D10-D11+D12</f>
        <v>486.05699999999973</v>
      </c>
    </row>
    <row r="14" spans="1:4" x14ac:dyDescent="0.2">
      <c r="A14" t="s">
        <v>52</v>
      </c>
      <c r="B14" s="14">
        <v>143.96600000000001</v>
      </c>
      <c r="C14" s="14">
        <v>119.77800000000001</v>
      </c>
      <c r="D14" s="14">
        <v>109.289</v>
      </c>
    </row>
    <row r="15" spans="1:4" x14ac:dyDescent="0.2">
      <c r="A15" t="s">
        <v>53</v>
      </c>
      <c r="B15">
        <f>B13-B14</f>
        <v>519.19000000000017</v>
      </c>
      <c r="C15">
        <f>C13-C14</f>
        <v>418.44700000000012</v>
      </c>
      <c r="D15">
        <f>D13-D14</f>
        <v>376.76799999999974</v>
      </c>
    </row>
    <row r="17" spans="1:4" x14ac:dyDescent="0.2">
      <c r="A17" t="s">
        <v>54</v>
      </c>
      <c r="B17" s="15">
        <f>B15/B18</f>
        <v>6.701906569079247</v>
      </c>
      <c r="C17" s="15">
        <f>C15/C18</f>
        <v>5.728384076223854</v>
      </c>
      <c r="D17" s="15">
        <f>D15/D18</f>
        <v>5.5379369138959893</v>
      </c>
    </row>
    <row r="18" spans="1:4" x14ac:dyDescent="0.2">
      <c r="A18" t="s">
        <v>55</v>
      </c>
      <c r="B18" s="14">
        <v>77.468999999999994</v>
      </c>
      <c r="C18" s="14">
        <v>73.048000000000002</v>
      </c>
      <c r="D18" s="14">
        <v>68.034000000000006</v>
      </c>
    </row>
    <row r="21" spans="1:4" x14ac:dyDescent="0.2">
      <c r="A21" t="s">
        <v>62</v>
      </c>
    </row>
    <row r="22" spans="1:4" x14ac:dyDescent="0.2">
      <c r="B22" t="s">
        <v>40</v>
      </c>
      <c r="C22" t="s">
        <v>41</v>
      </c>
      <c r="D22" t="s">
        <v>42</v>
      </c>
    </row>
    <row r="23" spans="1:4" x14ac:dyDescent="0.2">
      <c r="A23" t="s">
        <v>63</v>
      </c>
      <c r="B23" s="14">
        <v>347.92</v>
      </c>
      <c r="C23" s="14">
        <v>288.92899999999997</v>
      </c>
      <c r="D23" s="14">
        <v>330.32</v>
      </c>
    </row>
    <row r="24" spans="1:4" x14ac:dyDescent="0.2">
      <c r="A24" t="s">
        <v>64</v>
      </c>
      <c r="B24" s="14">
        <v>19.370999999999999</v>
      </c>
      <c r="C24" s="14">
        <v>16.759</v>
      </c>
      <c r="D24" s="14">
        <v>34.755000000000003</v>
      </c>
    </row>
    <row r="25" spans="1:4" x14ac:dyDescent="0.2">
      <c r="A25" t="s">
        <v>65</v>
      </c>
      <c r="B25" s="14">
        <v>1194.1590000000001</v>
      </c>
      <c r="C25" s="14">
        <v>1308.8399999999999</v>
      </c>
      <c r="D25" s="14">
        <v>1503.7560000000001</v>
      </c>
    </row>
    <row r="26" spans="1:4" x14ac:dyDescent="0.2">
      <c r="A26" t="s">
        <v>66</v>
      </c>
      <c r="B26" s="14">
        <v>83.45</v>
      </c>
      <c r="C26" s="14">
        <v>95.620999999999995</v>
      </c>
      <c r="D26" s="14">
        <v>82.456999999999994</v>
      </c>
    </row>
    <row r="27" spans="1:4" x14ac:dyDescent="0.2">
      <c r="A27" t="s">
        <v>67</v>
      </c>
      <c r="B27" s="14">
        <v>0</v>
      </c>
      <c r="C27" s="14">
        <v>0</v>
      </c>
      <c r="D27" s="14">
        <v>2.9569999999999999</v>
      </c>
    </row>
    <row r="28" spans="1:4" x14ac:dyDescent="0.2">
      <c r="A28" t="s">
        <v>68</v>
      </c>
      <c r="B28">
        <f>SUM(B23:B27)</f>
        <v>1644.9</v>
      </c>
      <c r="C28">
        <f>SUM(C23:C27)</f>
        <v>1710.1489999999999</v>
      </c>
      <c r="D28">
        <f>SUM(D23:D27)</f>
        <v>1954.2450000000001</v>
      </c>
    </row>
    <row r="30" spans="1:4" x14ac:dyDescent="0.2">
      <c r="A30" t="s">
        <v>69</v>
      </c>
      <c r="B30" s="14">
        <v>445.209</v>
      </c>
      <c r="C30" s="14">
        <v>525.13599999999997</v>
      </c>
      <c r="D30" s="14">
        <v>584.10299999999995</v>
      </c>
    </row>
    <row r="31" spans="1:4" x14ac:dyDescent="0.2">
      <c r="A31" t="s">
        <v>70</v>
      </c>
      <c r="B31" s="14">
        <v>1111.2370000000001</v>
      </c>
      <c r="C31" s="14">
        <v>1173.075</v>
      </c>
      <c r="D31" s="14">
        <v>1234.2460000000001</v>
      </c>
    </row>
    <row r="32" spans="1:4" x14ac:dyDescent="0.2">
      <c r="A32" t="s">
        <v>71</v>
      </c>
      <c r="B32" s="14">
        <v>578.23599999999999</v>
      </c>
      <c r="C32" s="14">
        <v>579.00699999999995</v>
      </c>
      <c r="D32" s="14">
        <v>579.76599999999996</v>
      </c>
    </row>
    <row r="33" spans="1:4" x14ac:dyDescent="0.2">
      <c r="A33" t="s">
        <v>72</v>
      </c>
      <c r="B33" s="14">
        <v>861.92</v>
      </c>
      <c r="C33" s="14">
        <v>861.92</v>
      </c>
      <c r="D33" s="14">
        <v>861.92</v>
      </c>
    </row>
    <row r="34" spans="1:4" x14ac:dyDescent="0.2">
      <c r="A34" t="s">
        <v>73</v>
      </c>
      <c r="B34" s="14">
        <v>35.210999999999999</v>
      </c>
      <c r="C34" s="14">
        <v>51.676000000000002</v>
      </c>
      <c r="D34" s="14">
        <v>62.756</v>
      </c>
    </row>
    <row r="35" spans="1:4" x14ac:dyDescent="0.2">
      <c r="A35" t="s">
        <v>74</v>
      </c>
      <c r="B35">
        <f>B28+SUM(B30:B34)</f>
        <v>4676.7129999999997</v>
      </c>
      <c r="C35">
        <f>C28+SUM(C30:C34)</f>
        <v>4900.9629999999997</v>
      </c>
      <c r="D35">
        <f>D28+SUM(D30:D34)</f>
        <v>5277.0360000000001</v>
      </c>
    </row>
    <row r="38" spans="1:4" x14ac:dyDescent="0.2">
      <c r="A38" t="s">
        <v>75</v>
      </c>
    </row>
    <row r="39" spans="1:4" x14ac:dyDescent="0.2">
      <c r="B39" t="s">
        <v>40</v>
      </c>
      <c r="C39" t="s">
        <v>41</v>
      </c>
      <c r="D39" t="s">
        <v>42</v>
      </c>
    </row>
    <row r="40" spans="1:4" x14ac:dyDescent="0.2">
      <c r="A40" t="s">
        <v>76</v>
      </c>
      <c r="B40" s="14">
        <v>541.077</v>
      </c>
      <c r="C40" s="14">
        <v>612.42399999999998</v>
      </c>
      <c r="D40" s="14">
        <v>637.85400000000004</v>
      </c>
    </row>
    <row r="41" spans="1:4" x14ac:dyDescent="0.2">
      <c r="A41" t="s">
        <v>77</v>
      </c>
      <c r="B41" s="14">
        <v>217.93199999999999</v>
      </c>
      <c r="C41" s="14">
        <v>230.32300000000001</v>
      </c>
      <c r="D41" s="14">
        <v>243.90799999999999</v>
      </c>
    </row>
    <row r="42" spans="1:4" x14ac:dyDescent="0.2">
      <c r="A42" t="s">
        <v>78</v>
      </c>
      <c r="B42" s="14">
        <v>117.849</v>
      </c>
      <c r="C42" s="14">
        <v>115.134</v>
      </c>
      <c r="D42" s="14">
        <v>147.49100000000001</v>
      </c>
    </row>
    <row r="43" spans="1:4" x14ac:dyDescent="0.2">
      <c r="A43" t="s">
        <v>79</v>
      </c>
      <c r="B43" s="14">
        <v>3</v>
      </c>
      <c r="C43" s="14">
        <v>3</v>
      </c>
      <c r="D43" s="14">
        <v>3</v>
      </c>
    </row>
    <row r="44" spans="1:4" x14ac:dyDescent="0.2">
      <c r="A44" t="s">
        <v>80</v>
      </c>
      <c r="B44">
        <f>SUM(B40:B43)</f>
        <v>879.85800000000006</v>
      </c>
      <c r="C44">
        <f>SUM(C40:C43)</f>
        <v>960.88099999999997</v>
      </c>
      <c r="D44">
        <f>SUM(D40:D43)</f>
        <v>1032.2530000000002</v>
      </c>
    </row>
    <row r="46" spans="1:4" x14ac:dyDescent="0.2">
      <c r="A46" t="s">
        <v>81</v>
      </c>
      <c r="B46" s="14">
        <v>484.55099999999999</v>
      </c>
      <c r="C46" s="14">
        <v>482.67899999999997</v>
      </c>
      <c r="D46" s="14">
        <v>480.79300000000001</v>
      </c>
    </row>
    <row r="47" spans="1:4" x14ac:dyDescent="0.2">
      <c r="A47" t="s">
        <v>82</v>
      </c>
      <c r="B47" s="14">
        <v>1091.2940000000001</v>
      </c>
      <c r="C47" s="14">
        <v>1185.741</v>
      </c>
      <c r="D47" s="14">
        <v>1261.1669999999999</v>
      </c>
    </row>
    <row r="48" spans="1:4" x14ac:dyDescent="0.2">
      <c r="A48" t="s">
        <v>83</v>
      </c>
      <c r="B48" s="14">
        <v>254.79599999999999</v>
      </c>
      <c r="C48" s="14">
        <v>256.815</v>
      </c>
      <c r="D48" s="14">
        <v>300.654</v>
      </c>
    </row>
    <row r="49" spans="1:4" x14ac:dyDescent="0.2">
      <c r="A49" t="s">
        <v>84</v>
      </c>
      <c r="B49" s="14">
        <v>11.564</v>
      </c>
      <c r="C49" s="14">
        <v>10.811999999999999</v>
      </c>
      <c r="D49" s="14">
        <v>30.792000000000002</v>
      </c>
    </row>
    <row r="50" spans="1:4" x14ac:dyDescent="0.2">
      <c r="A50" t="s">
        <v>85</v>
      </c>
      <c r="B50">
        <f>B44+SUM(B46:B49)</f>
        <v>2722.0630000000001</v>
      </c>
      <c r="C50">
        <f>C44+SUM(C46:C49)</f>
        <v>2896.9279999999999</v>
      </c>
      <c r="D50">
        <f>D44+SUM(D46:D49)</f>
        <v>3105.6590000000001</v>
      </c>
    </row>
    <row r="52" spans="1:4" x14ac:dyDescent="0.2">
      <c r="A52" t="s">
        <v>86</v>
      </c>
      <c r="B52" s="14">
        <v>0.74299999999999999</v>
      </c>
      <c r="C52" s="14">
        <v>0.68300000000000005</v>
      </c>
      <c r="D52" s="14">
        <v>0.64900000000000002</v>
      </c>
    </row>
    <row r="53" spans="1:4" x14ac:dyDescent="0.2">
      <c r="A53" t="s">
        <v>87</v>
      </c>
      <c r="B53" s="14">
        <v>242.09800000000001</v>
      </c>
      <c r="C53" s="14">
        <v>247.09399999999999</v>
      </c>
      <c r="D53" s="14">
        <v>256.351</v>
      </c>
    </row>
    <row r="54" spans="1:4" x14ac:dyDescent="0.2">
      <c r="A54" t="s">
        <v>88</v>
      </c>
      <c r="B54" s="14">
        <v>1711.809</v>
      </c>
      <c r="C54" s="14">
        <v>1756.258</v>
      </c>
      <c r="D54" s="14">
        <v>1914.377</v>
      </c>
    </row>
    <row r="55" spans="1:4" x14ac:dyDescent="0.2">
      <c r="A55" t="s">
        <v>89</v>
      </c>
      <c r="B55">
        <f>SUM(B52:B54)</f>
        <v>1954.65</v>
      </c>
      <c r="C55">
        <f>SUM(C52:C54)</f>
        <v>2004.0350000000001</v>
      </c>
      <c r="D55">
        <f>SUM(D52:D54)</f>
        <v>2171.377</v>
      </c>
    </row>
    <row r="56" spans="1:4" x14ac:dyDescent="0.2">
      <c r="A56" t="s">
        <v>90</v>
      </c>
      <c r="B56">
        <f>B50+B55</f>
        <v>4676.7129999999997</v>
      </c>
      <c r="C56">
        <f>C50+C55</f>
        <v>4900.9629999999997</v>
      </c>
      <c r="D56">
        <f>D50+D55</f>
        <v>5277.0360000000001</v>
      </c>
    </row>
    <row r="58" spans="1:4" x14ac:dyDescent="0.2">
      <c r="A58" t="s">
        <v>91</v>
      </c>
      <c r="B58">
        <f>B35-B56</f>
        <v>0</v>
      </c>
      <c r="C58">
        <f>C35-C56</f>
        <v>0</v>
      </c>
      <c r="D58">
        <f>D35-D56</f>
        <v>0</v>
      </c>
    </row>
    <row r="60" spans="1:4" x14ac:dyDescent="0.2">
      <c r="A60" t="s">
        <v>92</v>
      </c>
    </row>
    <row r="61" spans="1:4" x14ac:dyDescent="0.2">
      <c r="B61" t="s">
        <v>40</v>
      </c>
      <c r="C61" t="s">
        <v>41</v>
      </c>
      <c r="D61" t="s">
        <v>42</v>
      </c>
    </row>
    <row r="62" spans="1:4" x14ac:dyDescent="0.2">
      <c r="A62" t="s">
        <v>53</v>
      </c>
      <c r="B62">
        <f>B15</f>
        <v>519.19000000000017</v>
      </c>
      <c r="C62">
        <f>C15</f>
        <v>418.44700000000012</v>
      </c>
      <c r="D62">
        <f>D15</f>
        <v>376.76799999999974</v>
      </c>
    </row>
    <row r="63" spans="1:4" x14ac:dyDescent="0.2">
      <c r="A63" t="s">
        <v>93</v>
      </c>
      <c r="B63" s="14">
        <v>110.93600000000001</v>
      </c>
      <c r="C63" s="14">
        <v>118.07</v>
      </c>
      <c r="D63" s="14">
        <v>122.866</v>
      </c>
    </row>
    <row r="64" spans="1:4" x14ac:dyDescent="0.2">
      <c r="A64" t="s">
        <v>94</v>
      </c>
      <c r="B64" s="14">
        <v>16.722999999999999</v>
      </c>
      <c r="C64" s="14">
        <v>30.295000000000002</v>
      </c>
      <c r="D64" s="14">
        <v>46.212000000000003</v>
      </c>
    </row>
    <row r="65" spans="1:4" x14ac:dyDescent="0.2">
      <c r="A65" t="s">
        <v>95</v>
      </c>
      <c r="B65" s="14">
        <v>24.376999999999999</v>
      </c>
      <c r="C65" s="14">
        <v>26.629000000000001</v>
      </c>
      <c r="D65" s="14">
        <v>21.175999999999998</v>
      </c>
    </row>
    <row r="66" spans="1:4" x14ac:dyDescent="0.2">
      <c r="A66" t="s">
        <v>96</v>
      </c>
      <c r="B66" s="14">
        <v>-4.2469999999999999</v>
      </c>
      <c r="C66" s="14">
        <v>2.02</v>
      </c>
      <c r="D66" s="14">
        <v>43.838999999999999</v>
      </c>
    </row>
    <row r="67" spans="1:4" x14ac:dyDescent="0.2">
      <c r="A67" t="s">
        <v>97</v>
      </c>
      <c r="B67" s="14">
        <v>3.8759999999999999</v>
      </c>
      <c r="C67" s="14">
        <v>-4.0389999999999997</v>
      </c>
      <c r="D67" s="14">
        <v>-12.827</v>
      </c>
    </row>
    <row r="68" spans="1:4" x14ac:dyDescent="0.2">
      <c r="A68" t="s">
        <v>98</v>
      </c>
      <c r="B68" s="14">
        <v>-135.07599999999999</v>
      </c>
      <c r="C68" s="14">
        <v>-63.34</v>
      </c>
      <c r="D68" s="14">
        <v>-163.23599999999999</v>
      </c>
    </row>
    <row r="69" spans="1:4" x14ac:dyDescent="0.2">
      <c r="A69" t="s">
        <v>99</v>
      </c>
      <c r="B69">
        <f>SUM(B62:B68)</f>
        <v>535.77900000000011</v>
      </c>
      <c r="C69">
        <f>SUM(C62:C68)</f>
        <v>528.08199999999999</v>
      </c>
      <c r="D69">
        <f>SUM(D62:D68)</f>
        <v>434.79799999999989</v>
      </c>
    </row>
    <row r="71" spans="1:4" x14ac:dyDescent="0.2">
      <c r="A71" t="s">
        <v>100</v>
      </c>
      <c r="B71" s="14">
        <v>-207.77</v>
      </c>
      <c r="C71" s="14">
        <v>-199.589</v>
      </c>
      <c r="D71" s="14">
        <v>-212.66800000000001</v>
      </c>
    </row>
    <row r="72" spans="1:4" x14ac:dyDescent="0.2">
      <c r="A72" t="s">
        <v>101</v>
      </c>
      <c r="B72" s="14">
        <v>-0.52</v>
      </c>
      <c r="C72" s="14">
        <v>-0.77100000000000002</v>
      </c>
      <c r="D72" s="14">
        <v>-0.75900000000000001</v>
      </c>
    </row>
    <row r="73" spans="1:4" x14ac:dyDescent="0.2">
      <c r="A73" t="s">
        <v>102</v>
      </c>
      <c r="B73" s="14">
        <v>2.1509999999999998</v>
      </c>
      <c r="C73" s="14">
        <v>14.24</v>
      </c>
      <c r="D73" s="14">
        <v>41.39</v>
      </c>
    </row>
    <row r="74" spans="1:4" x14ac:dyDescent="0.2">
      <c r="A74" t="s">
        <v>103</v>
      </c>
      <c r="B74">
        <f>SUM(B71:B73)</f>
        <v>-206.13900000000001</v>
      </c>
      <c r="C74">
        <f>SUM(C71:C73)</f>
        <v>-186.11999999999998</v>
      </c>
      <c r="D74">
        <f>SUM(D71:D73)</f>
        <v>-172.03699999999998</v>
      </c>
    </row>
    <row r="76" spans="1:4" x14ac:dyDescent="0.2">
      <c r="A76" t="s">
        <v>104</v>
      </c>
      <c r="B76" s="14">
        <v>0</v>
      </c>
      <c r="C76" s="14">
        <v>3.9</v>
      </c>
      <c r="D76" s="14">
        <v>0</v>
      </c>
    </row>
    <row r="77" spans="1:4" x14ac:dyDescent="0.2">
      <c r="A77" t="s">
        <v>105</v>
      </c>
      <c r="B77" s="14">
        <v>0</v>
      </c>
      <c r="C77" s="14">
        <v>-3.9</v>
      </c>
      <c r="D77" s="14">
        <v>0</v>
      </c>
    </row>
    <row r="78" spans="1:4" x14ac:dyDescent="0.2">
      <c r="A78" t="s">
        <v>106</v>
      </c>
      <c r="B78" s="14">
        <v>-103</v>
      </c>
      <c r="C78" s="14">
        <v>-3</v>
      </c>
      <c r="D78" s="14">
        <v>-3</v>
      </c>
    </row>
    <row r="79" spans="1:4" x14ac:dyDescent="0.2">
      <c r="A79" t="s">
        <v>107</v>
      </c>
      <c r="B79" s="14">
        <v>0</v>
      </c>
      <c r="C79" s="14">
        <v>-5.6890000000000001</v>
      </c>
      <c r="D79" s="14">
        <v>0</v>
      </c>
    </row>
    <row r="80" spans="1:4" x14ac:dyDescent="0.2">
      <c r="A80" t="s">
        <v>108</v>
      </c>
      <c r="B80" s="14">
        <v>22.12</v>
      </c>
      <c r="C80" s="14">
        <v>9.5709999999999997</v>
      </c>
      <c r="D80" s="19">
        <v>9.5839999999999996</v>
      </c>
    </row>
    <row r="81" spans="1:4" x14ac:dyDescent="0.2">
      <c r="A81" t="s">
        <v>109</v>
      </c>
      <c r="B81" s="14">
        <v>-202.79599999999999</v>
      </c>
      <c r="C81" s="14">
        <v>-364.91199999999998</v>
      </c>
      <c r="D81" s="14">
        <v>-198.97800000000001</v>
      </c>
    </row>
    <row r="82" spans="1:4" x14ac:dyDescent="0.2">
      <c r="A82" t="s">
        <v>110</v>
      </c>
      <c r="B82" s="14">
        <v>-27.218</v>
      </c>
      <c r="C82" s="14">
        <v>-31.463000000000001</v>
      </c>
      <c r="D82" s="14">
        <v>-34.656999999999996</v>
      </c>
    </row>
    <row r="83" spans="1:4" x14ac:dyDescent="0.2">
      <c r="A83" t="s">
        <v>111</v>
      </c>
      <c r="B83" s="14">
        <v>-7.9710000000000001</v>
      </c>
      <c r="C83" s="14">
        <v>-5.46</v>
      </c>
      <c r="D83" s="14">
        <v>5.681</v>
      </c>
    </row>
    <row r="84" spans="1:4" x14ac:dyDescent="0.2">
      <c r="A84" t="s">
        <v>112</v>
      </c>
      <c r="B84">
        <f>SUM(B76:B83)</f>
        <v>-318.86500000000001</v>
      </c>
      <c r="C84">
        <f>SUM(C76:C83)</f>
        <v>-400.95299999999997</v>
      </c>
      <c r="D84">
        <f>SUM(D76:D83)</f>
        <v>-221.36999999999998</v>
      </c>
    </row>
    <row r="86" spans="1:4" x14ac:dyDescent="0.2">
      <c r="A86" t="s">
        <v>113</v>
      </c>
      <c r="B86">
        <f>SUM(B69,B74,B84)</f>
        <v>10.775000000000091</v>
      </c>
      <c r="C86">
        <f>SUM(C69,C74,C84)</f>
        <v>-58.990999999999985</v>
      </c>
      <c r="D86">
        <f>SUM(D69,D74,D84)</f>
        <v>41.390999999999934</v>
      </c>
    </row>
    <row r="87" spans="1:4" x14ac:dyDescent="0.2">
      <c r="A87" t="s">
        <v>114</v>
      </c>
      <c r="B87" s="14">
        <v>337.14499999999998</v>
      </c>
      <c r="C87" s="20">
        <v>347.92</v>
      </c>
      <c r="D87" s="14">
        <v>288.92899999999997</v>
      </c>
    </row>
    <row r="88" spans="1:4" x14ac:dyDescent="0.2">
      <c r="A88" t="s">
        <v>115</v>
      </c>
      <c r="B88">
        <f>B87+B86</f>
        <v>347.92000000000007</v>
      </c>
      <c r="C88">
        <f>C87+C86</f>
        <v>288.92900000000003</v>
      </c>
      <c r="D88">
        <f>D87+D86</f>
        <v>330.31999999999994</v>
      </c>
    </row>
    <row r="89" spans="1:4" x14ac:dyDescent="0.2">
      <c r="A89" t="s">
        <v>116</v>
      </c>
      <c r="B89">
        <f>B88-B23</f>
        <v>0</v>
      </c>
      <c r="C89">
        <f>C88-C23</f>
        <v>0</v>
      </c>
      <c r="D89">
        <f>D88-D23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7462A-5E17-9E4C-A3E6-D198878CD75C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38107-A1CE-B148-BD16-163DD058CB5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425B-9EF5-3343-86C2-7D022D04ADF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2198-8768-3044-AF99-89E38716067E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35220-D690-2C4B-89A8-A86118D95760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BD76-5413-8D46-BB0A-ECF459E11BD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CAF00-AC2E-A24C-BA08-02A1AB8BA889}">
  <dimension ref="A1"/>
  <sheetViews>
    <sheetView workbookViewId="0">
      <selection activeCell="C11" sqref="C11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Sources</vt:lpstr>
      <vt:lpstr>Historicals</vt:lpstr>
      <vt:lpstr>Assumptions</vt:lpstr>
      <vt:lpstr>Operating Model</vt:lpstr>
      <vt:lpstr>3-Statement</vt:lpstr>
      <vt:lpstr>DCF</vt:lpstr>
      <vt:lpstr>Comps</vt:lpstr>
      <vt:lpstr>LBO</vt:lpstr>
      <vt:lpstr>Checks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Fontecha, Jared Tyler</dc:creator>
  <cp:lastModifiedBy>Fontecha, Jared Tyler</cp:lastModifiedBy>
  <dcterms:created xsi:type="dcterms:W3CDTF">2026-08-24T00:50:06Z</dcterms:created>
  <dcterms:modified xsi:type="dcterms:W3CDTF">2026-08-25T23:36:28Z</dcterms:modified>
</cp:coreProperties>
</file>