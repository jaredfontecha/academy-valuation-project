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d/Desktop/academy-valuation-project/models/"/>
    </mc:Choice>
  </mc:AlternateContent>
  <xr:revisionPtr revIDLastSave="0" documentId="13_ncr:1_{D86A5D42-CB40-6944-810E-23119BD5F5B1}" xr6:coauthVersionLast="47" xr6:coauthVersionMax="47" xr10:uidLastSave="{00000000-0000-0000-0000-000000000000}"/>
  <bookViews>
    <workbookView xWindow="0" yWindow="500" windowWidth="28720" windowHeight="17500" activeTab="8" xr2:uid="{36D702DA-7A30-D243-9583-73FEBFEC9D4D}"/>
  </bookViews>
  <sheets>
    <sheet name="Cover" sheetId="1" r:id="rId1"/>
    <sheet name="Sources" sheetId="2" r:id="rId2"/>
    <sheet name="Historicals" sheetId="3" r:id="rId3"/>
    <sheet name="Assumptions" sheetId="4" r:id="rId4"/>
    <sheet name="Operating Model" sheetId="5" r:id="rId5"/>
    <sheet name="3-Statement" sheetId="6" r:id="rId6"/>
    <sheet name="DCF" sheetId="7" r:id="rId7"/>
    <sheet name="Comps" sheetId="8" r:id="rId8"/>
    <sheet name="LBO" sheetId="9" r:id="rId9"/>
    <sheet name="Checks" sheetId="10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4" i="9" l="1"/>
  <c r="B4" i="9"/>
  <c r="F4" i="8"/>
  <c r="G4" i="8" s="1"/>
  <c r="E4" i="8"/>
  <c r="B7" i="9" s="1"/>
  <c r="C4" i="10"/>
  <c r="B4" i="10" a="1"/>
  <c r="B3" i="10" a="1"/>
  <c r="C3" i="10" s="1"/>
  <c r="B42" i="9"/>
  <c r="B40" i="9"/>
  <c r="D26" i="9"/>
  <c r="E26" i="9"/>
  <c r="F26" i="9"/>
  <c r="C26" i="9"/>
  <c r="B26" i="9"/>
  <c r="C24" i="9"/>
  <c r="D24" i="9"/>
  <c r="E24" i="9"/>
  <c r="F24" i="9"/>
  <c r="B24" i="9"/>
  <c r="C23" i="9"/>
  <c r="D23" i="9"/>
  <c r="E23" i="9"/>
  <c r="F23" i="9"/>
  <c r="B23" i="9"/>
  <c r="C22" i="9"/>
  <c r="D22" i="9"/>
  <c r="E22" i="9"/>
  <c r="F22" i="9"/>
  <c r="B22" i="9"/>
  <c r="C21" i="9"/>
  <c r="D21" i="9"/>
  <c r="E21" i="9"/>
  <c r="F21" i="9"/>
  <c r="B21" i="9"/>
  <c r="B14" i="9"/>
  <c r="B12" i="9"/>
  <c r="B6" i="9"/>
  <c r="B8" i="9" s="1"/>
  <c r="B5" i="9"/>
  <c r="B21" i="8"/>
  <c r="B16" i="8"/>
  <c r="C16" i="8"/>
  <c r="D16" i="8"/>
  <c r="E16" i="8"/>
  <c r="F16" i="8"/>
  <c r="G16" i="8"/>
  <c r="C15" i="8"/>
  <c r="F15" i="8"/>
  <c r="C14" i="8"/>
  <c r="F14" i="8"/>
  <c r="M10" i="8"/>
  <c r="M9" i="8"/>
  <c r="G8" i="8"/>
  <c r="M8" i="8"/>
  <c r="G7" i="8"/>
  <c r="M5" i="8"/>
  <c r="L5" i="8"/>
  <c r="K6" i="8"/>
  <c r="K5" i="8"/>
  <c r="J4" i="8"/>
  <c r="M4" i="8" s="1"/>
  <c r="H4" i="8"/>
  <c r="G6" i="8"/>
  <c r="G5" i="8"/>
  <c r="I4" i="8"/>
  <c r="L6" i="8"/>
  <c r="M6" i="8"/>
  <c r="E20" i="7"/>
  <c r="E24" i="7"/>
  <c r="E25" i="7"/>
  <c r="E27" i="7"/>
  <c r="F15" i="7"/>
  <c r="F16" i="7" s="1"/>
  <c r="G15" i="7"/>
  <c r="G16" i="7" s="1"/>
  <c r="H15" i="7"/>
  <c r="H16" i="7" s="1"/>
  <c r="I15" i="7"/>
  <c r="I16" i="7" s="1"/>
  <c r="E15" i="7"/>
  <c r="E16" i="7" s="1"/>
  <c r="F14" i="7"/>
  <c r="G14" i="7"/>
  <c r="H14" i="7"/>
  <c r="I14" i="7"/>
  <c r="L9" i="7"/>
  <c r="L10" i="7"/>
  <c r="L12" i="7" s="1"/>
  <c r="L11" i="7"/>
  <c r="L15" i="7"/>
  <c r="L18" i="7" s="1"/>
  <c r="L16" i="7"/>
  <c r="L17" i="7"/>
  <c r="L19" i="7" s="1"/>
  <c r="F6" i="7"/>
  <c r="G6" i="7"/>
  <c r="H6" i="7"/>
  <c r="H8" i="7" s="1"/>
  <c r="H12" i="7" s="1"/>
  <c r="I6" i="7"/>
  <c r="F7" i="7"/>
  <c r="G7" i="7"/>
  <c r="H7" i="7"/>
  <c r="I7" i="7"/>
  <c r="F8" i="7"/>
  <c r="G8" i="7"/>
  <c r="I8" i="7"/>
  <c r="F9" i="7"/>
  <c r="G9" i="7"/>
  <c r="H9" i="7"/>
  <c r="I9" i="7"/>
  <c r="F10" i="7"/>
  <c r="G10" i="7"/>
  <c r="H10" i="7"/>
  <c r="I10" i="7"/>
  <c r="F11" i="7"/>
  <c r="F12" i="7" s="1"/>
  <c r="G11" i="7"/>
  <c r="G12" i="7" s="1"/>
  <c r="H11" i="7"/>
  <c r="I11" i="7"/>
  <c r="I12" i="7" s="1"/>
  <c r="E6" i="7"/>
  <c r="E7" i="7"/>
  <c r="E8" i="7"/>
  <c r="E9" i="7"/>
  <c r="E10" i="7"/>
  <c r="E11" i="7"/>
  <c r="E12" i="7" s="1"/>
  <c r="F87" i="6"/>
  <c r="G87" i="6"/>
  <c r="H87" i="6"/>
  <c r="I87" i="6"/>
  <c r="E87" i="6"/>
  <c r="F50" i="6"/>
  <c r="G50" i="6"/>
  <c r="H50" i="6"/>
  <c r="I50" i="6"/>
  <c r="F51" i="6"/>
  <c r="G51" i="6"/>
  <c r="H51" i="6"/>
  <c r="I51" i="6"/>
  <c r="F52" i="6"/>
  <c r="G52" i="6"/>
  <c r="H52" i="6"/>
  <c r="I52" i="6"/>
  <c r="F53" i="6"/>
  <c r="G53" i="6"/>
  <c r="H53" i="6"/>
  <c r="I53" i="6"/>
  <c r="F54" i="6"/>
  <c r="G54" i="6"/>
  <c r="H54" i="6"/>
  <c r="I54" i="6"/>
  <c r="F56" i="6"/>
  <c r="G56" i="6"/>
  <c r="H56" i="6"/>
  <c r="I56" i="6"/>
  <c r="E56" i="6"/>
  <c r="E54" i="6"/>
  <c r="E53" i="6"/>
  <c r="E52" i="6"/>
  <c r="E51" i="6"/>
  <c r="E50" i="6"/>
  <c r="F33" i="6"/>
  <c r="G33" i="6"/>
  <c r="H33" i="6"/>
  <c r="I33" i="6"/>
  <c r="E33" i="6"/>
  <c r="F26" i="6"/>
  <c r="G26" i="6"/>
  <c r="H26" i="6"/>
  <c r="I26" i="6"/>
  <c r="E26" i="6"/>
  <c r="F21" i="6"/>
  <c r="G21" i="6"/>
  <c r="H21" i="6"/>
  <c r="I21" i="6"/>
  <c r="E21" i="6"/>
  <c r="F84" i="6"/>
  <c r="G84" i="6"/>
  <c r="H84" i="6"/>
  <c r="I84" i="6"/>
  <c r="F85" i="6"/>
  <c r="F86" i="6"/>
  <c r="G85" i="6" s="1"/>
  <c r="G86" i="6" s="1"/>
  <c r="H85" i="6" s="1"/>
  <c r="H86" i="6" s="1"/>
  <c r="I85" i="6" s="1"/>
  <c r="I86" i="6" s="1"/>
  <c r="E86" i="6"/>
  <c r="E85" i="6"/>
  <c r="E84" i="6"/>
  <c r="E66" i="6"/>
  <c r="F66" i="6"/>
  <c r="G66" i="6"/>
  <c r="H66" i="6"/>
  <c r="I66" i="6"/>
  <c r="I30" i="6"/>
  <c r="F30" i="6"/>
  <c r="G30" i="6"/>
  <c r="H30" i="6" s="1"/>
  <c r="E30" i="6"/>
  <c r="F76" i="6"/>
  <c r="G76" i="6"/>
  <c r="H76" i="6"/>
  <c r="I76" i="6"/>
  <c r="F78" i="6"/>
  <c r="G78" i="6"/>
  <c r="H78" i="6"/>
  <c r="I78" i="6"/>
  <c r="F79" i="6"/>
  <c r="G79" i="6"/>
  <c r="H79" i="6"/>
  <c r="I79" i="6"/>
  <c r="F80" i="6"/>
  <c r="G80" i="6" s="1"/>
  <c r="F82" i="6"/>
  <c r="E82" i="6"/>
  <c r="E80" i="6"/>
  <c r="E79" i="6"/>
  <c r="E78" i="6"/>
  <c r="E76" i="6"/>
  <c r="F70" i="6"/>
  <c r="G70" i="6" s="1"/>
  <c r="H70" i="6" s="1"/>
  <c r="I70" i="6" s="1"/>
  <c r="E70" i="6"/>
  <c r="F69" i="6"/>
  <c r="G69" i="6"/>
  <c r="H69" i="6"/>
  <c r="I69" i="6"/>
  <c r="E72" i="6"/>
  <c r="E69" i="6"/>
  <c r="F67" i="6"/>
  <c r="G67" i="6"/>
  <c r="H67" i="6"/>
  <c r="I67" i="6"/>
  <c r="E67" i="6"/>
  <c r="F60" i="6"/>
  <c r="G60" i="6"/>
  <c r="H60" i="6"/>
  <c r="I60" i="6"/>
  <c r="F61" i="6"/>
  <c r="G61" i="6"/>
  <c r="H61" i="6"/>
  <c r="I61" i="6"/>
  <c r="F62" i="6"/>
  <c r="G62" i="6"/>
  <c r="H62" i="6"/>
  <c r="I62" i="6"/>
  <c r="F63" i="6"/>
  <c r="G63" i="6"/>
  <c r="H63" i="6"/>
  <c r="I63" i="6"/>
  <c r="F64" i="6"/>
  <c r="G64" i="6"/>
  <c r="H64" i="6"/>
  <c r="I64" i="6"/>
  <c r="E64" i="6"/>
  <c r="E63" i="6"/>
  <c r="E62" i="6"/>
  <c r="E61" i="6"/>
  <c r="E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C60" i="6"/>
  <c r="D60" i="6"/>
  <c r="B60" i="6"/>
  <c r="F11" i="6"/>
  <c r="G11" i="6"/>
  <c r="H11" i="6"/>
  <c r="I11" i="6"/>
  <c r="F12" i="6"/>
  <c r="F13" i="6"/>
  <c r="G13" i="6"/>
  <c r="H13" i="6"/>
  <c r="I13" i="6"/>
  <c r="E16" i="6"/>
  <c r="E15" i="6"/>
  <c r="E14" i="6"/>
  <c r="E13" i="6"/>
  <c r="E12" i="6"/>
  <c r="E11" i="6"/>
  <c r="F44" i="6"/>
  <c r="G44" i="6" s="1"/>
  <c r="F45" i="6"/>
  <c r="G45" i="6"/>
  <c r="H45" i="6"/>
  <c r="I45" i="6"/>
  <c r="F46" i="6"/>
  <c r="G46" i="6"/>
  <c r="H46" i="6"/>
  <c r="I46" i="6"/>
  <c r="F47" i="6"/>
  <c r="G47" i="6"/>
  <c r="H47" i="6"/>
  <c r="I47" i="6"/>
  <c r="F48" i="6"/>
  <c r="E48" i="6"/>
  <c r="E47" i="6"/>
  <c r="E46" i="6"/>
  <c r="E45" i="6"/>
  <c r="E44" i="6"/>
  <c r="F38" i="6"/>
  <c r="G38" i="6"/>
  <c r="H38" i="6"/>
  <c r="I38" i="6"/>
  <c r="F39" i="6"/>
  <c r="G39" i="6"/>
  <c r="H39" i="6"/>
  <c r="I39" i="6"/>
  <c r="F40" i="6"/>
  <c r="G40" i="6"/>
  <c r="H40" i="6"/>
  <c r="I40" i="6"/>
  <c r="F41" i="6"/>
  <c r="G41" i="6"/>
  <c r="H41" i="6"/>
  <c r="I41" i="6"/>
  <c r="F42" i="6"/>
  <c r="G42" i="6"/>
  <c r="H42" i="6"/>
  <c r="I42" i="6"/>
  <c r="E42" i="6"/>
  <c r="E41" i="6"/>
  <c r="E40" i="6"/>
  <c r="E39" i="6"/>
  <c r="E38" i="6"/>
  <c r="F29" i="6"/>
  <c r="G29" i="6"/>
  <c r="H29" i="6"/>
  <c r="I29" i="6"/>
  <c r="F31" i="6"/>
  <c r="G31" i="6"/>
  <c r="H31" i="6" s="1"/>
  <c r="I31" i="6" s="1"/>
  <c r="F32" i="6"/>
  <c r="G32" i="6"/>
  <c r="H32" i="6"/>
  <c r="I32" i="6"/>
  <c r="E32" i="6"/>
  <c r="E31" i="6"/>
  <c r="E29" i="6"/>
  <c r="F28" i="6"/>
  <c r="E28" i="6"/>
  <c r="G28" i="6"/>
  <c r="H28" i="6" s="1"/>
  <c r="I28" i="6" s="1"/>
  <c r="F22" i="6"/>
  <c r="G22" i="6"/>
  <c r="H22" i="6"/>
  <c r="I22" i="6"/>
  <c r="F23" i="6"/>
  <c r="G23" i="6"/>
  <c r="H23" i="6"/>
  <c r="I23" i="6"/>
  <c r="F24" i="6"/>
  <c r="G24" i="6"/>
  <c r="H24" i="6"/>
  <c r="I24" i="6"/>
  <c r="F25" i="6"/>
  <c r="G25" i="6"/>
  <c r="H25" i="6"/>
  <c r="I25" i="6"/>
  <c r="E25" i="6"/>
  <c r="E24" i="6"/>
  <c r="E23" i="6"/>
  <c r="E22" i="6"/>
  <c r="F6" i="6"/>
  <c r="G6" i="6"/>
  <c r="H6" i="6"/>
  <c r="I6" i="6"/>
  <c r="F7" i="6"/>
  <c r="G7" i="6"/>
  <c r="H7" i="6"/>
  <c r="I7" i="6"/>
  <c r="F8" i="6"/>
  <c r="G8" i="6"/>
  <c r="H8" i="6"/>
  <c r="I8" i="6"/>
  <c r="F9" i="6"/>
  <c r="G9" i="6"/>
  <c r="H9" i="6"/>
  <c r="I9" i="6"/>
  <c r="F10" i="6"/>
  <c r="G10" i="6"/>
  <c r="H10" i="6"/>
  <c r="I10" i="6"/>
  <c r="B39" i="6"/>
  <c r="C39" i="6"/>
  <c r="D39" i="6"/>
  <c r="B40" i="6"/>
  <c r="C40" i="6"/>
  <c r="D40" i="6"/>
  <c r="B41" i="6"/>
  <c r="C41" i="6"/>
  <c r="D41" i="6"/>
  <c r="B42" i="6"/>
  <c r="C42" i="6"/>
  <c r="D42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6" i="6"/>
  <c r="C56" i="6"/>
  <c r="D56" i="6"/>
  <c r="C38" i="6"/>
  <c r="D38" i="6"/>
  <c r="B38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C21" i="6"/>
  <c r="D21" i="6"/>
  <c r="B21" i="6"/>
  <c r="E10" i="6"/>
  <c r="E9" i="6"/>
  <c r="E8" i="6"/>
  <c r="E7" i="6"/>
  <c r="E6" i="6"/>
  <c r="B16" i="6"/>
  <c r="C16" i="6"/>
  <c r="D1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C6" i="6"/>
  <c r="D6" i="6"/>
  <c r="B6" i="6"/>
  <c r="F5" i="5"/>
  <c r="G5" i="5"/>
  <c r="H5" i="5"/>
  <c r="I5" i="5"/>
  <c r="F6" i="5"/>
  <c r="G6" i="5"/>
  <c r="H6" i="5"/>
  <c r="I6" i="5"/>
  <c r="F7" i="5"/>
  <c r="G7" i="5"/>
  <c r="H7" i="5"/>
  <c r="I7" i="5"/>
  <c r="F8" i="5"/>
  <c r="G8" i="5"/>
  <c r="H8" i="5"/>
  <c r="H9" i="5" s="1"/>
  <c r="I8" i="5"/>
  <c r="I9" i="5" s="1"/>
  <c r="F9" i="5"/>
  <c r="G9" i="5"/>
  <c r="F10" i="5"/>
  <c r="G10" i="5"/>
  <c r="H10" i="5"/>
  <c r="H11" i="5" s="1"/>
  <c r="I10" i="5"/>
  <c r="F11" i="5"/>
  <c r="G11" i="5"/>
  <c r="I11" i="5"/>
  <c r="F12" i="5"/>
  <c r="G12" i="5"/>
  <c r="G13" i="5" s="1"/>
  <c r="H12" i="5"/>
  <c r="H13" i="5" s="1"/>
  <c r="I12" i="5"/>
  <c r="I13" i="5" s="1"/>
  <c r="F13" i="5"/>
  <c r="E5" i="5"/>
  <c r="E11" i="5"/>
  <c r="E10" i="5"/>
  <c r="E8" i="5"/>
  <c r="E7" i="5"/>
  <c r="E6" i="5"/>
  <c r="D6" i="5"/>
  <c r="C6" i="5"/>
  <c r="C5" i="5"/>
  <c r="D5" i="5"/>
  <c r="C7" i="5"/>
  <c r="D7" i="5"/>
  <c r="C8" i="5"/>
  <c r="D8" i="5"/>
  <c r="C9" i="5"/>
  <c r="D9" i="5"/>
  <c r="C10" i="5"/>
  <c r="D10" i="5"/>
  <c r="C11" i="5"/>
  <c r="D11" i="5"/>
  <c r="C12" i="5"/>
  <c r="C13" i="5" s="1"/>
  <c r="D12" i="5"/>
  <c r="D13" i="5"/>
  <c r="B13" i="5"/>
  <c r="B12" i="5"/>
  <c r="B11" i="5"/>
  <c r="B10" i="5"/>
  <c r="B9" i="5"/>
  <c r="B8" i="5"/>
  <c r="B7" i="5"/>
  <c r="B5" i="5"/>
  <c r="H17" i="4"/>
  <c r="J23" i="4"/>
  <c r="I23" i="4"/>
  <c r="H23" i="4"/>
  <c r="J22" i="4"/>
  <c r="I22" i="4"/>
  <c r="J21" i="4"/>
  <c r="I21" i="4"/>
  <c r="J20" i="4"/>
  <c r="I20" i="4"/>
  <c r="H20" i="4"/>
  <c r="J19" i="4"/>
  <c r="I19" i="4"/>
  <c r="H19" i="4"/>
  <c r="J18" i="4"/>
  <c r="I18" i="4"/>
  <c r="H18" i="4"/>
  <c r="J17" i="4"/>
  <c r="I17" i="4"/>
  <c r="J16" i="4"/>
  <c r="I16" i="4"/>
  <c r="H16" i="4"/>
  <c r="J15" i="4"/>
  <c r="I15" i="4"/>
  <c r="H15" i="4"/>
  <c r="F8" i="4"/>
  <c r="E8" i="4"/>
  <c r="D8" i="4"/>
  <c r="C8" i="4"/>
  <c r="B8" i="4"/>
  <c r="D69" i="3"/>
  <c r="C84" i="3"/>
  <c r="D84" i="3"/>
  <c r="C69" i="3"/>
  <c r="B89" i="3"/>
  <c r="B88" i="3"/>
  <c r="B86" i="3"/>
  <c r="B84" i="3"/>
  <c r="C74" i="3"/>
  <c r="C86" i="3" s="1"/>
  <c r="C88" i="3" s="1"/>
  <c r="C89" i="3" s="1"/>
  <c r="D74" i="3"/>
  <c r="B74" i="3"/>
  <c r="B69" i="3"/>
  <c r="C62" i="3"/>
  <c r="D62" i="3"/>
  <c r="B62" i="3"/>
  <c r="D55" i="3"/>
  <c r="C58" i="3"/>
  <c r="C56" i="3"/>
  <c r="C55" i="3"/>
  <c r="B58" i="3"/>
  <c r="B56" i="3"/>
  <c r="B55" i="3"/>
  <c r="B50" i="3"/>
  <c r="C44" i="3"/>
  <c r="C50" i="3" s="1"/>
  <c r="D44" i="3"/>
  <c r="D50" i="3" s="1"/>
  <c r="B44" i="3"/>
  <c r="D28" i="3"/>
  <c r="D35" i="3" s="1"/>
  <c r="D58" i="3" s="1"/>
  <c r="C35" i="3"/>
  <c r="C28" i="3"/>
  <c r="B35" i="3"/>
  <c r="B28" i="3"/>
  <c r="B17" i="3"/>
  <c r="C17" i="3"/>
  <c r="D17" i="3"/>
  <c r="C15" i="3"/>
  <c r="D15" i="3"/>
  <c r="B15" i="3"/>
  <c r="C13" i="3"/>
  <c r="D13" i="3"/>
  <c r="B13" i="3"/>
  <c r="C9" i="3"/>
  <c r="D9" i="3"/>
  <c r="B9" i="3"/>
  <c r="C7" i="3"/>
  <c r="D7" i="3"/>
  <c r="B7" i="3"/>
  <c r="B9" i="9" l="1"/>
  <c r="B15" i="9" s="1"/>
  <c r="B7" i="10" s="1"/>
  <c r="C7" i="10" s="1"/>
  <c r="B30" i="9"/>
  <c r="K8" i="8"/>
  <c r="L8" i="8"/>
  <c r="K7" i="8"/>
  <c r="L7" i="8"/>
  <c r="K4" i="8"/>
  <c r="L4" i="8"/>
  <c r="E21" i="7"/>
  <c r="E23" i="7" s="1"/>
  <c r="E26" i="7" s="1"/>
  <c r="E28" i="7" s="1"/>
  <c r="K24" i="7" s="1"/>
  <c r="L20" i="7"/>
  <c r="H80" i="6"/>
  <c r="G82" i="6"/>
  <c r="F72" i="6"/>
  <c r="F14" i="6"/>
  <c r="G12" i="6"/>
  <c r="G48" i="6"/>
  <c r="H44" i="6"/>
  <c r="E12" i="5"/>
  <c r="E13" i="5" s="1"/>
  <c r="E9" i="5"/>
  <c r="D86" i="3"/>
  <c r="D88" i="3" s="1"/>
  <c r="D89" i="3" s="1"/>
  <c r="D56" i="3"/>
  <c r="K10" i="8" l="1"/>
  <c r="K9" i="8"/>
  <c r="B14" i="8" s="1"/>
  <c r="D14" i="8" s="1"/>
  <c r="E14" i="8" s="1"/>
  <c r="G14" i="8" s="1"/>
  <c r="L10" i="8"/>
  <c r="L9" i="8"/>
  <c r="B15" i="8" s="1"/>
  <c r="D15" i="8" s="1"/>
  <c r="E15" i="8" s="1"/>
  <c r="G15" i="8" s="1"/>
  <c r="B32" i="9"/>
  <c r="B25" i="9" s="1"/>
  <c r="B27" i="9" s="1"/>
  <c r="B33" i="9" s="1"/>
  <c r="B34" i="9" s="1"/>
  <c r="B35" i="9" s="1"/>
  <c r="B49" i="9"/>
  <c r="B55" i="9" s="1"/>
  <c r="B16" i="9"/>
  <c r="B17" i="9" s="1"/>
  <c r="B5" i="10" s="1"/>
  <c r="C5" i="10" s="1"/>
  <c r="I80" i="6"/>
  <c r="I82" i="6" s="1"/>
  <c r="H82" i="6"/>
  <c r="G72" i="6"/>
  <c r="F15" i="6"/>
  <c r="F16" i="6" s="1"/>
  <c r="G14" i="6"/>
  <c r="H12" i="6"/>
  <c r="H48" i="6"/>
  <c r="I44" i="6"/>
  <c r="I48" i="6" s="1"/>
  <c r="B18" i="8" l="1"/>
  <c r="B19" i="8"/>
  <c r="B22" i="8" s="1"/>
  <c r="B20" i="8"/>
  <c r="C30" i="9"/>
  <c r="C32" i="9" s="1"/>
  <c r="C25" i="9" s="1"/>
  <c r="C27" i="9" s="1"/>
  <c r="C33" i="9" s="1"/>
  <c r="C34" i="9" s="1"/>
  <c r="C35" i="9" s="1"/>
  <c r="D30" i="9" s="1"/>
  <c r="D32" i="9" s="1"/>
  <c r="D25" i="9" s="1"/>
  <c r="D27" i="9" s="1"/>
  <c r="D33" i="9" s="1"/>
  <c r="D34" i="9" s="1"/>
  <c r="D35" i="9" s="1"/>
  <c r="E30" i="9" s="1"/>
  <c r="H72" i="6"/>
  <c r="I72" i="6"/>
  <c r="G15" i="6"/>
  <c r="G16" i="6"/>
  <c r="H14" i="6"/>
  <c r="I12" i="6"/>
  <c r="I14" i="6" s="1"/>
  <c r="E32" i="9" l="1"/>
  <c r="E25" i="9" s="1"/>
  <c r="E27" i="9" s="1"/>
  <c r="E33" i="9" s="1"/>
  <c r="E34" i="9" s="1"/>
  <c r="E35" i="9" s="1"/>
  <c r="H15" i="6"/>
  <c r="H16" i="6"/>
  <c r="I15" i="6"/>
  <c r="I16" i="6"/>
  <c r="F30" i="9" l="1"/>
  <c r="F32" i="9" s="1"/>
  <c r="F25" i="9" s="1"/>
  <c r="F27" i="9" s="1"/>
  <c r="F33" i="9" s="1"/>
  <c r="F34" i="9" s="1"/>
  <c r="F35" i="9" s="1"/>
  <c r="B6" i="10" l="1"/>
  <c r="C6" i="10" s="1"/>
  <c r="B43" i="9"/>
  <c r="B45" i="9" s="1"/>
  <c r="B50" i="9" s="1"/>
  <c r="G55" i="9" l="1"/>
  <c r="B52" i="9" s="1"/>
  <c r="B51" i="9"/>
  <c r="A59" i="9" l="1"/>
  <c r="B8" i="10"/>
  <c r="C8" i="10" s="1"/>
  <c r="B9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<sst xmlns="http://schemas.openxmlformats.org/spreadsheetml/2006/main" count="502" uniqueCount="334">
  <si>
    <t>Academy Sports + Outdoors Valuation Model</t>
  </si>
  <si>
    <t>Company</t>
  </si>
  <si>
    <t>Academy Sports and Outdoors, Inc.</t>
  </si>
  <si>
    <t>Ticker</t>
  </si>
  <si>
    <t>ASO</t>
  </si>
  <si>
    <t>Currency</t>
  </si>
  <si>
    <t>USD in millions, except per-share data</t>
  </si>
  <si>
    <t>Historical Period</t>
  </si>
  <si>
    <t>Forecast Period</t>
  </si>
  <si>
    <t>Fiscal Year End</t>
  </si>
  <si>
    <t>Saturday closest to January 31</t>
  </si>
  <si>
    <t>Scenario</t>
  </si>
  <si>
    <t>Base Case</t>
  </si>
  <si>
    <t>Prepared By</t>
  </si>
  <si>
    <t>Model Version</t>
  </si>
  <si>
    <t>Purpose</t>
  </si>
  <si>
    <t>Three-statement, DCF, comparable-company, and LBO analysis of Academy Sports + Outdoors.</t>
  </si>
  <si>
    <t>Fiscal 2023-Fiscal 2025</t>
  </si>
  <si>
    <t>Fiscal 2026E-Fiscal 2030E</t>
  </si>
  <si>
    <t>Jared Tyler Fontecha</t>
  </si>
  <si>
    <t>Sources and Audit Trail</t>
  </si>
  <si>
    <t>Source ID</t>
  </si>
  <si>
    <t>Document</t>
  </si>
  <si>
    <t>Filing Type</t>
  </si>
  <si>
    <t>Fiscal Period</t>
  </si>
  <si>
    <t>Filing Date</t>
  </si>
  <si>
    <t>Local File</t>
  </si>
  <si>
    <t>URL</t>
  </si>
  <si>
    <t>Used For</t>
  </si>
  <si>
    <t>Notes</t>
  </si>
  <si>
    <t>S1</t>
  </si>
  <si>
    <t>Academy Sports + Outdoors 2025 Annual Report</t>
  </si>
  <si>
    <t>10-K</t>
  </si>
  <si>
    <t>Fiscal 2025</t>
  </si>
  <si>
    <t>data/raw/academy_2025_10k.pdf</t>
  </si>
  <si>
    <t>https://investors.academy.com/static-files/62169eba-0019-4a9b-88d1-42e713a679f5</t>
  </si>
  <si>
    <t>Company overview and historical financial statements</t>
  </si>
  <si>
    <t>Fiscal year ended Jan 31. 2026</t>
  </si>
  <si>
    <t>Academy Sports + Outdoors Historical Financials</t>
  </si>
  <si>
    <t>Income Statement ($ in millions)</t>
  </si>
  <si>
    <t>2023A</t>
  </si>
  <si>
    <t>2024A</t>
  </si>
  <si>
    <t>2025A</t>
  </si>
  <si>
    <t>Net Sales</t>
  </si>
  <si>
    <t>Cost of Goods Sold</t>
  </si>
  <si>
    <t>Selling, General and Administrative Expenses</t>
  </si>
  <si>
    <t>Operating Income</t>
  </si>
  <si>
    <t>Interest Expense, Net</t>
  </si>
  <si>
    <t>Write-Off of Deferred Loan Costs</t>
  </si>
  <si>
    <t>Other Income, Net</t>
  </si>
  <si>
    <t>Income Before Income Taxes</t>
  </si>
  <si>
    <t>Income Tax Expense</t>
  </si>
  <si>
    <t>Net Income</t>
  </si>
  <si>
    <t>Diluted Weighted Average Shares</t>
  </si>
  <si>
    <t>S2</t>
  </si>
  <si>
    <t>Fiscal 2024</t>
  </si>
  <si>
    <t>data/raw/academy_2024_10k.pdf</t>
  </si>
  <si>
    <t>https://investors.academy.com/static-files/b6761f64-ddd4-4b84-baf8-8c1274e4e5f9</t>
  </si>
  <si>
    <t>Fiscal 2023 balance sheet</t>
  </si>
  <si>
    <t>Fiscal year ended February 1, 2025</t>
  </si>
  <si>
    <t>Blance Sheet ($ in millions)</t>
  </si>
  <si>
    <t>Cash and Cash Equivalents</t>
  </si>
  <si>
    <t>Accounts Receivable</t>
  </si>
  <si>
    <t>Merchandise Inventories</t>
  </si>
  <si>
    <t>Prepaid Expenses and Other Current Assets</t>
  </si>
  <si>
    <t>Assets Held for Sale</t>
  </si>
  <si>
    <t>Total Current Assets</t>
  </si>
  <si>
    <t>Property and Equipment, Net</t>
  </si>
  <si>
    <t>Right-of-Use Assets</t>
  </si>
  <si>
    <t>Trade Name</t>
  </si>
  <si>
    <t>Goodwill</t>
  </si>
  <si>
    <t>Other Noncurrent Assets</t>
  </si>
  <si>
    <t>Total Assets</t>
  </si>
  <si>
    <t>Liabilities and Stockholders' Equity</t>
  </si>
  <si>
    <t>Accounts Payable</t>
  </si>
  <si>
    <t>Accured Expenses and Other Current Liabilities</t>
  </si>
  <si>
    <t>Current Lease Liabilities</t>
  </si>
  <si>
    <t>Current Maturities of Long-Term Debt</t>
  </si>
  <si>
    <t>Total Current Liabilities</t>
  </si>
  <si>
    <t>Long-Term Debt, Net</t>
  </si>
  <si>
    <t>Long-Term Lease Liabilities</t>
  </si>
  <si>
    <t>Deferred Tax Liabilities, Net</t>
  </si>
  <si>
    <t>Other Long-Term Liabilities</t>
  </si>
  <si>
    <t>Total Liabilities</t>
  </si>
  <si>
    <t>Common Stock</t>
  </si>
  <si>
    <t>Additional Paid-In Capital</t>
  </si>
  <si>
    <t>Retained Earnings</t>
  </si>
  <si>
    <t>Stockholders' Equity</t>
  </si>
  <si>
    <t>Total Liabilities and Stockholders' Equity</t>
  </si>
  <si>
    <t>Balance Check</t>
  </si>
  <si>
    <t>Cash Flow Statement</t>
  </si>
  <si>
    <t>Depreciation and Amortization</t>
  </si>
  <si>
    <t>Nocash Lease Expense</t>
  </si>
  <si>
    <t>Equity Compensation</t>
  </si>
  <si>
    <t>Deferred Income Taxes</t>
  </si>
  <si>
    <t>Other Nocash Items</t>
  </si>
  <si>
    <t xml:space="preserve">Changes in Operating Assets and Liabilities </t>
  </si>
  <si>
    <t>Net Cash Provided by Operating Activities</t>
  </si>
  <si>
    <t>Captial Expendetures</t>
  </si>
  <si>
    <t>Purchases of Intangible Assets</t>
  </si>
  <si>
    <t>Proceeds from Sale of Property and Equipment</t>
  </si>
  <si>
    <t>Net Cash Used in Investing Activities</t>
  </si>
  <si>
    <t>Borrowings Under Revolving Credit Facility</t>
  </si>
  <si>
    <t>Repayments of Revolving Credit Facility</t>
  </si>
  <si>
    <t>Repayment of Term Loan</t>
  </si>
  <si>
    <t>Debt Issuance Fees</t>
  </si>
  <si>
    <t>Proceeds from Stock Options and Employee Stock Plan</t>
  </si>
  <si>
    <t>Repurchases of Common Stock</t>
  </si>
  <si>
    <t>Dividends Paid</t>
  </si>
  <si>
    <t>Other Financing Activities</t>
  </si>
  <si>
    <t>Net Cash Used in Financing Activities</t>
  </si>
  <si>
    <t>Net Change in Cash</t>
  </si>
  <si>
    <t>Cash and Cash Equivalents, Beginning</t>
  </si>
  <si>
    <t>Cash and Cash Equivalents, Ending</t>
  </si>
  <si>
    <t>Cash Flow Check</t>
  </si>
  <si>
    <t>Academy Sports + Outdoors Forecast Assumptions</t>
  </si>
  <si>
    <t>2026E</t>
  </si>
  <si>
    <t>2027E</t>
  </si>
  <si>
    <t>2028E</t>
  </si>
  <si>
    <t>2029E</t>
  </si>
  <si>
    <t>2030E</t>
  </si>
  <si>
    <t>Operating Assumptions</t>
  </si>
  <si>
    <t>Net Sales Growth</t>
  </si>
  <si>
    <t>Gross Margin %</t>
  </si>
  <si>
    <t>SG&amp;A as % of Sales</t>
  </si>
  <si>
    <t>Effective Tax Rate</t>
  </si>
  <si>
    <t>New Store Contribution</t>
  </si>
  <si>
    <t>Comparable Sales Growth</t>
  </si>
  <si>
    <t>S3</t>
  </si>
  <si>
    <t>Earnings Release</t>
  </si>
  <si>
    <t>Q1 Fiscal 2026</t>
  </si>
  <si>
    <t>https://investors.academy.com/node/11946/pdf</t>
  </si>
  <si>
    <t>Fiscal 2026 forecast assumptions and management guidance</t>
  </si>
  <si>
    <t>Page 2: updated sales growth, comparable sales, gross margin, tax rate, net income and capital expenditure guidance</t>
  </si>
  <si>
    <t>data/raw/academy_q1_2026_earnings_release.pdf</t>
  </si>
  <si>
    <t>Balance Sheet and Cash Flow Assumptions</t>
  </si>
  <si>
    <t>Accounts Receivable as % of Sales</t>
  </si>
  <si>
    <t>Inventory as % of Sales</t>
  </si>
  <si>
    <t>Prepaid Expenses as % of Sales</t>
  </si>
  <si>
    <t>Accounts Payable as % of COGS</t>
  </si>
  <si>
    <t>Accrued Expenses as % of Sales</t>
  </si>
  <si>
    <t>Capital Expenditures as % of Sales</t>
  </si>
  <si>
    <t>Dividend Growth</t>
  </si>
  <si>
    <t>Historical Reference</t>
  </si>
  <si>
    <t>D&amp;A as % of Beginning PP&amp;E</t>
  </si>
  <si>
    <t>Share Repurchases ($ in millions)</t>
  </si>
  <si>
    <t>Academy Sports + Outdoors Operating Model</t>
  </si>
  <si>
    <t>Gross Profit</t>
  </si>
  <si>
    <t>Operating Margin %</t>
  </si>
  <si>
    <t>Academy Sports + Outdoors Integrated Three-Statement Model</t>
  </si>
  <si>
    <t>Assets Held For Sale</t>
  </si>
  <si>
    <t>Right-of-Use Assets as % of Sales</t>
  </si>
  <si>
    <t>Other Noncurrent Assets as % of Sales</t>
  </si>
  <si>
    <t>Academy Sports + Outdoors Discounted Cash Flow Valuation</t>
  </si>
  <si>
    <t>Unlevered Free Cash Flow ($ in millions)</t>
  </si>
  <si>
    <t>Operating Income (EBIT)</t>
  </si>
  <si>
    <t>Tax Rate</t>
  </si>
  <si>
    <t>NOPAT</t>
  </si>
  <si>
    <t>Capital Expenditures</t>
  </si>
  <si>
    <t>Change in Net Working Capital</t>
  </si>
  <si>
    <t>Unlevered Free Cash Flow</t>
  </si>
  <si>
    <t>Discount Period</t>
  </si>
  <si>
    <t>Discount Factor</t>
  </si>
  <si>
    <t>Present Value of UFCF</t>
  </si>
  <si>
    <t>Terminal Value</t>
  </si>
  <si>
    <t>Terminal Growth Rate</t>
  </si>
  <si>
    <t>Present Value of Terminal Value</t>
  </si>
  <si>
    <t>Enterprise Value</t>
  </si>
  <si>
    <t>Less: Debt</t>
  </si>
  <si>
    <t>Add: Cash</t>
  </si>
  <si>
    <t>Equity Value</t>
  </si>
  <si>
    <t>Diluted Shares Outstanding</t>
  </si>
  <si>
    <t>Implied Share Price</t>
  </si>
  <si>
    <t>WACC Calculation</t>
  </si>
  <si>
    <t>Risk-Free Rate</t>
  </si>
  <si>
    <t>Equity Risk Premium</t>
  </si>
  <si>
    <t>Levered Beta</t>
  </si>
  <si>
    <t>Cost of Equity</t>
  </si>
  <si>
    <t>Pre-Tax Cost of Debt</t>
  </si>
  <si>
    <t>After-Tax Cost of Debt</t>
  </si>
  <si>
    <t>Share Price</t>
  </si>
  <si>
    <t>Market Value of Equity</t>
  </si>
  <si>
    <t>Debt</t>
  </si>
  <si>
    <t>Total Capital</t>
  </si>
  <si>
    <t>Equity Weight</t>
  </si>
  <si>
    <t>Debt Weight</t>
  </si>
  <si>
    <t>WACC</t>
  </si>
  <si>
    <t>Academy Sports + Outdoors Q1 Fiscal 2026 Earnings Release</t>
  </si>
  <si>
    <t>S4</t>
  </si>
  <si>
    <t>S5</t>
  </si>
  <si>
    <t>S6</t>
  </si>
  <si>
    <t>U.S. Treasury</t>
  </si>
  <si>
    <t>Damodaran/NYU</t>
  </si>
  <si>
    <t>Google Finance</t>
  </si>
  <si>
    <t>The 4.66% risk-free rate used in WACC</t>
  </si>
  <si>
    <t>The 4.28% equity risk premium used in WACC</t>
  </si>
  <si>
    <t>ASO’s 1.06 beta, $43.54 share price and 62.020 million shares</t>
  </si>
  <si>
    <t>Gov Market Data</t>
  </si>
  <si>
    <t>N/A</t>
  </si>
  <si>
    <t>https://home.treasury.gov/resource-center/data-chart-center/interest-rates/TextView?field_tdr_date_value=2026&amp;type=daily_treasury_yield_curve</t>
  </si>
  <si>
    <t>10-year U.S. Treasury yield of 4.66% as of August 26, 2026</t>
  </si>
  <si>
    <t>Academic Market Data</t>
  </si>
  <si>
    <t>https://pages.stern.nyu.edu/~adamodar/</t>
  </si>
  <si>
    <t>U.S. implied equity risk premium of 4.28% as of August 1, 2026</t>
  </si>
  <si>
    <t>Market Data</t>
  </si>
  <si>
    <t>ASO market-data snapshot as of August 26, 2026; values change over time</t>
  </si>
  <si>
    <t>Source</t>
  </si>
  <si>
    <t>DCF Sensitivity Analysis</t>
  </si>
  <si>
    <t>Academy Sports + Outdoors Comparable Companies Analysis</t>
  </si>
  <si>
    <t>Revenue</t>
  </si>
  <si>
    <t>EBITDA</t>
  </si>
  <si>
    <t>EV / Revenue</t>
  </si>
  <si>
    <t>EV / EBITDA</t>
  </si>
  <si>
    <t>P / E</t>
  </si>
  <si>
    <t>Academy Sports + Outdoors</t>
  </si>
  <si>
    <t>Dick's Sporting Goods</t>
  </si>
  <si>
    <t>Boot Barn</t>
  </si>
  <si>
    <t>Sportsman's Warehouse</t>
  </si>
  <si>
    <t>Median</t>
  </si>
  <si>
    <t>Mean</t>
  </si>
  <si>
    <t>DKS</t>
  </si>
  <si>
    <t>BOOT</t>
  </si>
  <si>
    <t>SPWH</t>
  </si>
  <si>
    <t>Tractor Supply Company</t>
  </si>
  <si>
    <t>TSCO</t>
  </si>
  <si>
    <t>Equity Value ($ in millions)</t>
  </si>
  <si>
    <t>Debt ($ in millions)</t>
  </si>
  <si>
    <t>Cash ($ in millions)</t>
  </si>
  <si>
    <t>Enterprise Value ($ in millions)</t>
  </si>
  <si>
    <t>Revenue ($ in millions)</t>
  </si>
  <si>
    <t>EBITDA ($ in millions)</t>
  </si>
  <si>
    <t>Net Income ($ in millions)</t>
  </si>
  <si>
    <t>S7</t>
  </si>
  <si>
    <t>DICK'S Sporting Goods FY2025 Results</t>
  </si>
  <si>
    <t>https://investors.dicks.com/news/news-details/2026/DICKS-Sporting-Goods-Inc--Reports-Fourth-Quarter-and-Full-Year-2025-Results-Delivers-Record-Setting-Fourth-Quarter-Sales-for-the-DICKS-Business/default.aspx</t>
  </si>
  <si>
    <t>Debt, cash, revenue, EBITDA and net income for comparable-company analysis</t>
  </si>
  <si>
    <t>Fiscal year ended January 31, 2026; includes Foot Locker following its 2025 acquisition</t>
  </si>
  <si>
    <t>S8</t>
  </si>
  <si>
    <t>Boot Barn Holdings FY2026 Annual Report</t>
  </si>
  <si>
    <t>Fiscal 2026</t>
  </si>
  <si>
    <t>https://www.sec.gov/Archives/edgar/data/1610250/000110465926061346/boot-20260328x10k.htm</t>
  </si>
  <si>
    <t>Fiscal year ended March 28, 2026; EBITDA calculated as operating income plus depreciation and amortization</t>
  </si>
  <si>
    <t>N/M</t>
  </si>
  <si>
    <t>S9</t>
  </si>
  <si>
    <t>Sportsman's Warehouse FY2025 Results</t>
  </si>
  <si>
    <t>https://investors.sportsmans.com/news-releases/news-release-details/sportsmans-warehouse-holdings-inc-announces-fourth-quarter-19</t>
  </si>
  <si>
    <t>Fiscal year ended January 31, 2026; unadjusted EBITDA calculated as operating income plus D&amp;A; P/E is not meaningful due to net loss</t>
  </si>
  <si>
    <t>S10</t>
  </si>
  <si>
    <t>Tractor Supply Company FY2025 Annual Report</t>
  </si>
  <si>
    <t>https://www.sec.gov/Archives/edgar/data/916365/000091636526000014/tsco-20251227.htm</t>
  </si>
  <si>
    <t>Fiscal year ended December 27, 2025; EBITDA calculated as operating income plus depreciation and amortization</t>
  </si>
  <si>
    <t>Academy Implied Valuation</t>
  </si>
  <si>
    <t>Method</t>
  </si>
  <si>
    <t>Selected Multiple</t>
  </si>
  <si>
    <t>Academy Metric</t>
  </si>
  <si>
    <t>Implied Enterprise Value</t>
  </si>
  <si>
    <t>Implied Equity Value</t>
  </si>
  <si>
    <t>Diluted Shares</t>
  </si>
  <si>
    <t>Low Implied Share Price</t>
  </si>
  <si>
    <t>Average Implied Share Price</t>
  </si>
  <si>
    <t>High Implied Share Price</t>
  </si>
  <si>
    <t>Current Share Price</t>
  </si>
  <si>
    <t>Implied Upside / (Downside)</t>
  </si>
  <si>
    <t>Academy Sports + Outdoors Leveraged Buyout Analysis</t>
  </si>
  <si>
    <t>Transaction Assumptions</t>
  </si>
  <si>
    <t>Entry Share Price</t>
  </si>
  <si>
    <t>Purchase Equity Value</t>
  </si>
  <si>
    <t>Existing Debt</t>
  </si>
  <si>
    <t>Transaction Fees</t>
  </si>
  <si>
    <t>Total Uses</t>
  </si>
  <si>
    <t>Transaction Fee %</t>
  </si>
  <si>
    <t>Sources</t>
  </si>
  <si>
    <t>Entry EBITDA</t>
  </si>
  <si>
    <t>Entry Debt / EBITDA</t>
  </si>
  <si>
    <t>New Debt</t>
  </si>
  <si>
    <t>Sponsor Equity</t>
  </si>
  <si>
    <t>Total Sources</t>
  </si>
  <si>
    <t>Sources / Uses Check</t>
  </si>
  <si>
    <t>EBITDA Margin</t>
  </si>
  <si>
    <t>CapEx</t>
  </si>
  <si>
    <t>Cash Taxes</t>
  </si>
  <si>
    <t>Cash Available Before Interest</t>
  </si>
  <si>
    <t>Accounts Receivable + Inventory + Prepaids − Accounts Payable − Accrued Expenses</t>
  </si>
  <si>
    <t>Notes:</t>
  </si>
  <si>
    <t>LBO interest expense is calculated using the new acquisition debt balance, not the existing 3-Statement debt structure.</t>
  </si>
  <si>
    <t>Operating Forecast ($ in millions)</t>
  </si>
  <si>
    <t>Debt Schedule</t>
  </si>
  <si>
    <t>Beginning Debt</t>
  </si>
  <si>
    <t>Interest Rate</t>
  </si>
  <si>
    <t>Cash Interest</t>
  </si>
  <si>
    <t>Cash Available After Interest</t>
  </si>
  <si>
    <t>Debt Paydown</t>
  </si>
  <si>
    <t>Ending Debt</t>
  </si>
  <si>
    <t>Exit Analysis</t>
  </si>
  <si>
    <t>Exit Year</t>
  </si>
  <si>
    <t>Exit EBITDA</t>
  </si>
  <si>
    <t>Exit EV / EBITDA</t>
  </si>
  <si>
    <t>Exit Enterprise Value</t>
  </si>
  <si>
    <t>Less: Ending Debt</t>
  </si>
  <si>
    <t>Add: Exit Cash</t>
  </si>
  <si>
    <t>Exit Equity Value</t>
  </si>
  <si>
    <t>Sponsor Returns</t>
  </si>
  <si>
    <t>Initial Sponsor Equity</t>
  </si>
  <si>
    <t>MOIC</t>
  </si>
  <si>
    <t>IRR</t>
  </si>
  <si>
    <t>Sponsor Cash Flows</t>
  </si>
  <si>
    <t>Entry</t>
  </si>
  <si>
    <t>Year 1</t>
  </si>
  <si>
    <t>Year 2</t>
  </si>
  <si>
    <t>Year 3</t>
  </si>
  <si>
    <t>Year 4</t>
  </si>
  <si>
    <t>Year 5</t>
  </si>
  <si>
    <t>IRR Sensitivity</t>
  </si>
  <si>
    <t>Exit Multiple</t>
  </si>
  <si>
    <t>Entry Leverage</t>
  </si>
  <si>
    <t>Model Checks</t>
  </si>
  <si>
    <t>3-Statement Balance Sheet Check</t>
  </si>
  <si>
    <t>3-Statement Cash Flow Check</t>
  </si>
  <si>
    <t>LBO Sources / Uses Check</t>
  </si>
  <si>
    <t>LBO Ending Debt Check</t>
  </si>
  <si>
    <t>LBO Sponsor Equity Check</t>
  </si>
  <si>
    <t>LBO Base Case IRR Check</t>
  </si>
  <si>
    <t>Overall Model Status</t>
  </si>
  <si>
    <t>Check name:</t>
  </si>
  <si>
    <t>Raw Check Value:</t>
  </si>
  <si>
    <t>Status:</t>
  </si>
  <si>
    <t>Diluted Earnings Per Share</t>
  </si>
  <si>
    <t>Balance Sheet ($ in millions)</t>
  </si>
  <si>
    <t>Accrued Expenses and Other Current Liabilities</t>
  </si>
  <si>
    <t>Noncash Lease Expense</t>
  </si>
  <si>
    <t>Capital Expendetures</t>
  </si>
  <si>
    <t>https://www.google.com/finance/quote/ASO:NASDAQ</t>
  </si>
  <si>
    <t>Acquisition Premium</t>
  </si>
  <si>
    <t>Minimum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</si>
</sst>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0.0"/>
    <numFmt numFmtId="165" formatCode="0.0%"/>
    <numFmt numFmtId="166" formatCode="&quot;$&quot;#,##0.000_);[Red]\(&quot;$&quot;#,##0.000\)"/>
    <numFmt numFmtId="167" formatCode="_(&quot;$&quot;* #,##0.000_);_(&quot;$&quot;* \(#,##0.000\);_(&quot;$&quot;* &quot;-&quot;??_);_(@_)"/>
    <numFmt numFmtId="171" formatCode="0.000"/>
    <numFmt numFmtId="177" formatCode="_(&quot;$&quot;* #,##0.000_);_(&quot;$&quot;* \(#,##0.000\);_(&quot;$&quot;* &quot;-&quot;???_);_(@_)"/>
    <numFmt numFmtId="188" formatCode="0.00\x"/>
    <numFmt numFmtId="189" formatCode="&quot;$&quot;#,##0.00"/>
  </numFmts>
  <fonts count="11" x14ac:knownFonts="1">
    <font>
      <sz val="12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sz val="12"/>
      <color rgb="FF0070C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4">
    <xf numFmtId="0" fontId="0" fillId="0" borderId="0" xfId="0"/>
    <xf numFmtId="0" fontId="3" fillId="2" borderId="0" xfId="0" applyFont="1" applyFill="1"/>
    <xf numFmtId="0" fontId="3" fillId="0" borderId="0" xfId="0" applyFont="1"/>
    <xf numFmtId="0" fontId="1" fillId="0" borderId="0" xfId="0" applyFont="1"/>
    <xf numFmtId="0" fontId="3" fillId="2" borderId="1" xfId="0" applyFont="1" applyFill="1" applyBorder="1"/>
    <xf numFmtId="164" fontId="0" fillId="0" borderId="1" xfId="0" quotePrefix="1" applyNumberFormat="1" applyBorder="1" applyAlignment="1">
      <alignment horizontal="left"/>
    </xf>
    <xf numFmtId="0" fontId="3" fillId="2" borderId="2" xfId="0" applyFont="1" applyFill="1" applyBorder="1"/>
    <xf numFmtId="0" fontId="0" fillId="0" borderId="2" xfId="0" applyBorder="1"/>
    <xf numFmtId="0" fontId="0" fillId="0" borderId="3" xfId="0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5" fillId="0" borderId="0" xfId="0" applyFont="1"/>
    <xf numFmtId="0" fontId="6" fillId="0" borderId="4" xfId="1" applyBorder="1" applyAlignment="1">
      <alignment wrapText="1"/>
    </xf>
    <xf numFmtId="165" fontId="0" fillId="0" borderId="0" xfId="0" applyNumberFormat="1"/>
    <xf numFmtId="165" fontId="5" fillId="0" borderId="0" xfId="0" applyNumberFormat="1" applyFont="1"/>
    <xf numFmtId="0" fontId="0" fillId="0" borderId="4" xfId="0" applyBorder="1" applyAlignment="1">
      <alignment horizontal="center" wrapText="1"/>
    </xf>
    <xf numFmtId="14" fontId="0" fillId="0" borderId="4" xfId="0" applyNumberFormat="1" applyBorder="1" applyAlignment="1">
      <alignment horizontal="center" wrapText="1"/>
    </xf>
    <xf numFmtId="0" fontId="6" fillId="0" borderId="4" xfId="1" applyBorder="1"/>
    <xf numFmtId="165" fontId="0" fillId="0" borderId="0" xfId="3" applyNumberFormat="1" applyFont="1"/>
    <xf numFmtId="166" fontId="0" fillId="0" borderId="0" xfId="0" applyNumberFormat="1"/>
    <xf numFmtId="167" fontId="0" fillId="0" borderId="0" xfId="2" applyNumberFormat="1" applyFont="1"/>
    <xf numFmtId="167" fontId="5" fillId="0" borderId="0" xfId="2" applyNumberFormat="1" applyFont="1"/>
    <xf numFmtId="44" fontId="0" fillId="0" borderId="0" xfId="0" applyNumberForma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Font="1"/>
    <xf numFmtId="171" fontId="0" fillId="0" borderId="0" xfId="0" applyNumberFormat="1"/>
    <xf numFmtId="44" fontId="5" fillId="0" borderId="0" xfId="2" applyFont="1"/>
    <xf numFmtId="44" fontId="5" fillId="0" borderId="0" xfId="2" applyNumberFormat="1" applyFont="1"/>
    <xf numFmtId="44" fontId="0" fillId="0" borderId="0" xfId="2" applyFont="1"/>
    <xf numFmtId="9" fontId="0" fillId="0" borderId="0" xfId="0" applyNumberFormat="1"/>
    <xf numFmtId="167" fontId="0" fillId="0" borderId="0" xfId="0" applyNumberFormat="1"/>
    <xf numFmtId="0" fontId="8" fillId="0" borderId="0" xfId="0" applyFont="1"/>
    <xf numFmtId="167" fontId="8" fillId="0" borderId="0" xfId="2" applyNumberFormat="1" applyFont="1"/>
    <xf numFmtId="167" fontId="5" fillId="0" borderId="0" xfId="2" quotePrefix="1" applyNumberFormat="1" applyFont="1"/>
    <xf numFmtId="165" fontId="5" fillId="0" borderId="0" xfId="3" applyNumberFormat="1" applyFont="1"/>
    <xf numFmtId="171" fontId="5" fillId="0" borderId="0" xfId="0" applyNumberFormat="1" applyFont="1"/>
    <xf numFmtId="0" fontId="0" fillId="0" borderId="4" xfId="0" applyBorder="1"/>
    <xf numFmtId="0" fontId="0" fillId="0" borderId="4" xfId="0" applyFill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6" fillId="0" borderId="0" xfId="1"/>
    <xf numFmtId="0" fontId="0" fillId="0" borderId="4" xfId="0" applyBorder="1" applyAlignment="1">
      <alignment horizontal="center"/>
    </xf>
    <xf numFmtId="165" fontId="9" fillId="0" borderId="0" xfId="3" applyNumberFormat="1" applyFont="1"/>
    <xf numFmtId="0" fontId="9" fillId="0" borderId="0" xfId="0" applyFont="1"/>
    <xf numFmtId="10" fontId="0" fillId="0" borderId="0" xfId="3" applyNumberFormat="1" applyFont="1"/>
    <xf numFmtId="44" fontId="0" fillId="0" borderId="5" xfId="2" applyFont="1" applyBorder="1"/>
    <xf numFmtId="44" fontId="9" fillId="0" borderId="0" xfId="2" applyNumberFormat="1" applyFont="1"/>
    <xf numFmtId="44" fontId="5" fillId="0" borderId="0" xfId="0" applyNumberFormat="1" applyFont="1"/>
    <xf numFmtId="167" fontId="5" fillId="0" borderId="0" xfId="0" applyNumberFormat="1" applyFont="1"/>
    <xf numFmtId="188" fontId="0" fillId="0" borderId="0" xfId="0" applyNumberFormat="1"/>
    <xf numFmtId="188" fontId="0" fillId="0" borderId="0" xfId="0" applyNumberFormat="1" applyAlignment="1">
      <alignment horizontal="right"/>
    </xf>
    <xf numFmtId="189" fontId="0" fillId="0" borderId="0" xfId="0" applyNumberFormat="1"/>
    <xf numFmtId="189" fontId="9" fillId="0" borderId="0" xfId="0" applyNumberFormat="1" applyFont="1"/>
    <xf numFmtId="188" fontId="5" fillId="0" borderId="0" xfId="0" applyNumberFormat="1" applyFont="1"/>
    <xf numFmtId="177" fontId="0" fillId="0" borderId="0" xfId="0" applyNumberFormat="1"/>
    <xf numFmtId="0" fontId="10" fillId="0" borderId="0" xfId="0" applyFont="1"/>
    <xf numFmtId="188" fontId="9" fillId="0" borderId="0" xfId="0" applyNumberFormat="1" applyFont="1"/>
    <xf numFmtId="165" fontId="9" fillId="0" borderId="0" xfId="0" applyNumberFormat="1" applyFont="1"/>
    <xf numFmtId="165" fontId="0" fillId="0" borderId="0" xfId="0" applyNumberFormat="1" applyBorder="1" applyAlignment="1">
      <alignment wrapText="1"/>
    </xf>
    <xf numFmtId="165" fontId="9" fillId="0" borderId="5" xfId="3" applyNumberFormat="1" applyFont="1" applyBorder="1"/>
    <xf numFmtId="17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3" applyNumberFormat="1" applyFont="1" applyAlignment="1">
      <alignment horizontal="left"/>
    </xf>
    <xf numFmtId="167" fontId="0" fillId="0" borderId="0" xfId="0" applyNumberFormat="1" applyFont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1610250/000110465926061346/boot-20260328x10k.htm" TargetMode="External"/><Relationship Id="rId3" Type="http://schemas.openxmlformats.org/officeDocument/2006/relationships/hyperlink" Target="https://investors.academy.com/node/11946/pdf" TargetMode="External"/><Relationship Id="rId7" Type="http://schemas.openxmlformats.org/officeDocument/2006/relationships/hyperlink" Target="https://investors.dicks.com/news/news-details/2026/DICKS-Sporting-Goods-Inc--Reports-Fourth-Quarter-and-Full-Year-2025-Results-Delivers-Record-Setting-Fourth-Quarter-Sales-for-the-DICKS-Business/default.aspx" TargetMode="External"/><Relationship Id="rId2" Type="http://schemas.openxmlformats.org/officeDocument/2006/relationships/hyperlink" Target="https://investors.academy.com/static-files/62169eba-0019-4a9b-88d1-42e713a679f5" TargetMode="External"/><Relationship Id="rId1" Type="http://schemas.openxmlformats.org/officeDocument/2006/relationships/hyperlink" Target="https://investors.academy.com/static-files/b6761f64-ddd4-4b84-baf8-8c1274e4e5f9" TargetMode="External"/><Relationship Id="rId6" Type="http://schemas.openxmlformats.org/officeDocument/2006/relationships/hyperlink" Target="https://www.google.com/finance/quote/ASO:NASDAQ" TargetMode="External"/><Relationship Id="rId5" Type="http://schemas.openxmlformats.org/officeDocument/2006/relationships/hyperlink" Target="https://pages.stern.nyu.edu/~adamodar/" TargetMode="External"/><Relationship Id="rId10" Type="http://schemas.openxmlformats.org/officeDocument/2006/relationships/hyperlink" Target="https://www.sec.gov/Archives/edgar/data/916365/000091636526000014/tsco-20251227.htm" TargetMode="External"/><Relationship Id="rId4" Type="http://schemas.openxmlformats.org/officeDocument/2006/relationships/hyperlink" Target="https://home.treasury.gov/resource-center/data-chart-center/interest-rates/TextView?field_tdr_date_value=2026&amp;type=daily_treasury_yield_curve" TargetMode="External"/><Relationship Id="rId9" Type="http://schemas.openxmlformats.org/officeDocument/2006/relationships/hyperlink" Target="https://investors.sportsmans.com/news-releases/news-release-details/sportsmans-warehouse-holdings-inc-announces-fourth-quarter-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0991-6232-7043-A72D-4274ABC2C193}">
  <dimension ref="A1:F14"/>
  <sheetViews>
    <sheetView showGridLines="0" zoomScaleNormal="100" workbookViewId="0">
      <selection activeCell="B24" sqref="B24"/>
    </sheetView>
  </sheetViews>
  <sheetFormatPr baseColWidth="10" defaultRowHeight="16" x14ac:dyDescent="0.2"/>
  <cols>
    <col min="1" max="1" width="20.83203125" customWidth="1"/>
    <col min="2" max="2" width="66" customWidth="1"/>
  </cols>
  <sheetData>
    <row r="1" spans="1:6" ht="16" customHeight="1" x14ac:dyDescent="0.3">
      <c r="A1" s="23" t="s">
        <v>0</v>
      </c>
      <c r="B1" s="23"/>
      <c r="C1" s="3"/>
      <c r="D1" s="3"/>
      <c r="E1" s="3"/>
      <c r="F1" s="3"/>
    </row>
    <row r="2" spans="1:6" ht="16" customHeight="1" x14ac:dyDescent="0.3">
      <c r="A2" s="23"/>
      <c r="B2" s="23"/>
      <c r="C2" s="3"/>
      <c r="D2" s="3"/>
      <c r="E2" s="3"/>
      <c r="F2" s="3"/>
    </row>
    <row r="4" spans="1:6" x14ac:dyDescent="0.2">
      <c r="A4" s="6" t="s">
        <v>1</v>
      </c>
      <c r="B4" s="7" t="s">
        <v>2</v>
      </c>
    </row>
    <row r="5" spans="1:6" x14ac:dyDescent="0.2">
      <c r="A5" s="1" t="s">
        <v>3</v>
      </c>
      <c r="B5" t="s">
        <v>4</v>
      </c>
    </row>
    <row r="6" spans="1:6" x14ac:dyDescent="0.2">
      <c r="A6" s="1" t="s">
        <v>5</v>
      </c>
      <c r="B6" t="s">
        <v>6</v>
      </c>
    </row>
    <row r="7" spans="1:6" x14ac:dyDescent="0.2">
      <c r="A7" s="1" t="s">
        <v>7</v>
      </c>
      <c r="B7" t="s">
        <v>17</v>
      </c>
    </row>
    <row r="8" spans="1:6" x14ac:dyDescent="0.2">
      <c r="A8" s="1" t="s">
        <v>8</v>
      </c>
      <c r="B8" t="s">
        <v>18</v>
      </c>
    </row>
    <row r="9" spans="1:6" x14ac:dyDescent="0.2">
      <c r="A9" s="1" t="s">
        <v>9</v>
      </c>
      <c r="B9" t="s">
        <v>10</v>
      </c>
    </row>
    <row r="10" spans="1:6" x14ac:dyDescent="0.2">
      <c r="A10" s="1" t="s">
        <v>11</v>
      </c>
      <c r="B10" t="s">
        <v>12</v>
      </c>
    </row>
    <row r="11" spans="1:6" x14ac:dyDescent="0.2">
      <c r="A11" s="1" t="s">
        <v>13</v>
      </c>
      <c r="B11" t="s">
        <v>19</v>
      </c>
    </row>
    <row r="12" spans="1:6" x14ac:dyDescent="0.2">
      <c r="A12" s="4" t="s">
        <v>14</v>
      </c>
      <c r="B12" s="5">
        <v>1</v>
      </c>
    </row>
    <row r="13" spans="1:6" x14ac:dyDescent="0.2">
      <c r="A13" s="2"/>
    </row>
    <row r="14" spans="1:6" ht="34" x14ac:dyDescent="0.2">
      <c r="A14" s="1" t="s">
        <v>15</v>
      </c>
      <c r="B14" s="8" t="s">
        <v>16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6351-7F30-C94A-8EE0-6DCE1A7E22C9}">
  <dimension ref="A1:I13"/>
  <sheetViews>
    <sheetView showGridLines="0" workbookViewId="0">
      <selection activeCell="G21" sqref="G21"/>
    </sheetView>
  </sheetViews>
  <sheetFormatPr baseColWidth="10" defaultRowHeight="16" x14ac:dyDescent="0.2"/>
  <cols>
    <col min="1" max="1" width="11.83203125" customWidth="1"/>
    <col min="2" max="2" width="19.33203125" customWidth="1"/>
    <col min="3" max="3" width="14.5" customWidth="1"/>
    <col min="6" max="6" width="29.1640625" customWidth="1"/>
    <col min="7" max="7" width="45.83203125" customWidth="1"/>
    <col min="8" max="8" width="36" customWidth="1"/>
    <col min="9" max="9" width="65.5" customWidth="1"/>
  </cols>
  <sheetData>
    <row r="1" spans="1:9" ht="19" x14ac:dyDescent="0.25">
      <c r="A1" s="24" t="s">
        <v>20</v>
      </c>
      <c r="B1" s="24"/>
      <c r="C1" s="24"/>
      <c r="D1" s="24"/>
      <c r="E1" s="24"/>
      <c r="F1" s="24"/>
      <c r="G1" s="24"/>
      <c r="H1" s="24"/>
      <c r="I1" s="24"/>
    </row>
    <row r="3" spans="1:9" ht="34" x14ac:dyDescent="0.2">
      <c r="A3" s="9" t="s">
        <v>21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</row>
    <row r="4" spans="1:9" ht="51" x14ac:dyDescent="0.2">
      <c r="A4" s="15" t="s">
        <v>30</v>
      </c>
      <c r="B4" s="10" t="s">
        <v>31</v>
      </c>
      <c r="C4" s="15" t="s">
        <v>32</v>
      </c>
      <c r="D4" s="15" t="s">
        <v>33</v>
      </c>
      <c r="E4" s="16">
        <v>46098</v>
      </c>
      <c r="F4" s="10" t="s">
        <v>34</v>
      </c>
      <c r="G4" s="12" t="s">
        <v>35</v>
      </c>
      <c r="H4" s="10" t="s">
        <v>36</v>
      </c>
      <c r="I4" s="10" t="s">
        <v>37</v>
      </c>
    </row>
    <row r="5" spans="1:9" ht="51" x14ac:dyDescent="0.2">
      <c r="A5" s="15" t="s">
        <v>54</v>
      </c>
      <c r="B5" s="10" t="s">
        <v>31</v>
      </c>
      <c r="C5" s="15" t="s">
        <v>32</v>
      </c>
      <c r="D5" s="15" t="s">
        <v>55</v>
      </c>
      <c r="E5" s="16">
        <v>45736</v>
      </c>
      <c r="F5" s="10" t="s">
        <v>56</v>
      </c>
      <c r="G5" s="12" t="s">
        <v>57</v>
      </c>
      <c r="H5" s="10" t="s">
        <v>58</v>
      </c>
      <c r="I5" s="10" t="s">
        <v>59</v>
      </c>
    </row>
    <row r="6" spans="1:9" ht="51" x14ac:dyDescent="0.2">
      <c r="A6" s="15" t="s">
        <v>128</v>
      </c>
      <c r="B6" s="10" t="s">
        <v>187</v>
      </c>
      <c r="C6" s="15" t="s">
        <v>129</v>
      </c>
      <c r="D6" s="15" t="s">
        <v>130</v>
      </c>
      <c r="E6" s="16">
        <v>46182</v>
      </c>
      <c r="F6" s="10" t="s">
        <v>134</v>
      </c>
      <c r="G6" s="17" t="s">
        <v>131</v>
      </c>
      <c r="H6" s="10" t="s">
        <v>132</v>
      </c>
      <c r="I6" s="10" t="s">
        <v>133</v>
      </c>
    </row>
    <row r="7" spans="1:9" ht="17" x14ac:dyDescent="0.2">
      <c r="A7" s="15" t="s">
        <v>188</v>
      </c>
      <c r="B7" s="37" t="s">
        <v>191</v>
      </c>
      <c r="C7" s="37" t="s">
        <v>197</v>
      </c>
      <c r="D7" s="41" t="s">
        <v>198</v>
      </c>
      <c r="E7" s="39">
        <v>46260</v>
      </c>
      <c r="F7" s="37" t="s">
        <v>198</v>
      </c>
      <c r="G7" s="40" t="s">
        <v>199</v>
      </c>
      <c r="H7" s="38" t="s">
        <v>194</v>
      </c>
      <c r="I7" s="37" t="s">
        <v>200</v>
      </c>
    </row>
    <row r="8" spans="1:9" ht="34" x14ac:dyDescent="0.2">
      <c r="A8" s="15" t="s">
        <v>189</v>
      </c>
      <c r="B8" s="38" t="s">
        <v>192</v>
      </c>
      <c r="C8" s="15" t="s">
        <v>201</v>
      </c>
      <c r="D8" s="41" t="s">
        <v>198</v>
      </c>
      <c r="E8" s="39">
        <v>46235</v>
      </c>
      <c r="F8" s="37" t="s">
        <v>198</v>
      </c>
      <c r="G8" s="40" t="s">
        <v>202</v>
      </c>
      <c r="H8" s="38" t="s">
        <v>195</v>
      </c>
      <c r="I8" s="37" t="s">
        <v>203</v>
      </c>
    </row>
    <row r="9" spans="1:9" ht="34" x14ac:dyDescent="0.2">
      <c r="A9" s="15" t="s">
        <v>190</v>
      </c>
      <c r="B9" s="38" t="s">
        <v>193</v>
      </c>
      <c r="C9" s="41" t="s">
        <v>204</v>
      </c>
      <c r="D9" s="41" t="s">
        <v>198</v>
      </c>
      <c r="E9" s="39">
        <v>46260</v>
      </c>
      <c r="F9" s="37" t="s">
        <v>198</v>
      </c>
      <c r="G9" s="17" t="s">
        <v>331</v>
      </c>
      <c r="H9" s="38" t="s">
        <v>196</v>
      </c>
      <c r="I9" s="37" t="s">
        <v>205</v>
      </c>
    </row>
    <row r="10" spans="1:9" ht="34" x14ac:dyDescent="0.2">
      <c r="A10" s="15" t="s">
        <v>232</v>
      </c>
      <c r="B10" s="10" t="s">
        <v>233</v>
      </c>
      <c r="C10" s="10" t="s">
        <v>129</v>
      </c>
      <c r="D10" s="15" t="s">
        <v>33</v>
      </c>
      <c r="E10" s="16">
        <v>46093</v>
      </c>
      <c r="F10" s="10" t="s">
        <v>198</v>
      </c>
      <c r="G10" s="17" t="s">
        <v>234</v>
      </c>
      <c r="H10" s="10" t="s">
        <v>235</v>
      </c>
      <c r="I10" s="10" t="s">
        <v>236</v>
      </c>
    </row>
    <row r="11" spans="1:9" ht="34" x14ac:dyDescent="0.2">
      <c r="A11" s="15" t="s">
        <v>237</v>
      </c>
      <c r="B11" s="10" t="s">
        <v>238</v>
      </c>
      <c r="C11" s="15" t="s">
        <v>32</v>
      </c>
      <c r="D11" s="15" t="s">
        <v>239</v>
      </c>
      <c r="E11" s="16">
        <v>46156</v>
      </c>
      <c r="F11" s="10" t="s">
        <v>198</v>
      </c>
      <c r="G11" s="17" t="s">
        <v>240</v>
      </c>
      <c r="H11" s="10" t="s">
        <v>235</v>
      </c>
      <c r="I11" s="10" t="s">
        <v>241</v>
      </c>
    </row>
    <row r="12" spans="1:9" ht="51" x14ac:dyDescent="0.2">
      <c r="A12" s="15" t="s">
        <v>243</v>
      </c>
      <c r="B12" s="10" t="s">
        <v>244</v>
      </c>
      <c r="C12" s="15" t="s">
        <v>129</v>
      </c>
      <c r="D12" s="15" t="s">
        <v>33</v>
      </c>
      <c r="E12" s="16">
        <v>46112</v>
      </c>
      <c r="F12" s="10" t="s">
        <v>198</v>
      </c>
      <c r="G12" s="17" t="s">
        <v>245</v>
      </c>
      <c r="H12" s="10" t="s">
        <v>235</v>
      </c>
      <c r="I12" s="10" t="s">
        <v>246</v>
      </c>
    </row>
    <row r="13" spans="1:9" ht="51" x14ac:dyDescent="0.2">
      <c r="A13" s="15" t="s">
        <v>247</v>
      </c>
      <c r="B13" s="10" t="s">
        <v>248</v>
      </c>
      <c r="C13" s="15" t="s">
        <v>32</v>
      </c>
      <c r="D13" s="15" t="s">
        <v>33</v>
      </c>
      <c r="E13" s="16">
        <v>46072</v>
      </c>
      <c r="F13" s="10" t="s">
        <v>198</v>
      </c>
      <c r="G13" s="17" t="s">
        <v>249</v>
      </c>
      <c r="H13" s="10" t="s">
        <v>235</v>
      </c>
      <c r="I13" s="10" t="s">
        <v>250</v>
      </c>
    </row>
  </sheetData>
  <mergeCells count="1">
    <mergeCell ref="A1:I1"/>
  </mergeCells>
  <hyperlinks>
    <hyperlink ref="G5" r:id="rId1" xr:uid="{33F5D60F-B556-9C47-857F-325C5261B377}"/>
    <hyperlink ref="G4" r:id="rId2" xr:uid="{E591E186-BEA8-C340-860E-3799DDDD9FFC}"/>
    <hyperlink ref="G6" r:id="rId3" xr:uid="{73CDB9EF-AB72-E448-8F42-2812E60A7313}"/>
    <hyperlink ref="G7" r:id="rId4" xr:uid="{14929C16-6314-0D48-8547-56EEC0E08B96}"/>
    <hyperlink ref="G8" r:id="rId5" xr:uid="{B2B9ACF7-83B6-1645-BECF-413D3F48C4C5}"/>
    <hyperlink ref="G9" r:id="rId6" xr:uid="{C2F7A191-6B69-304F-A767-66639D06159A}"/>
    <hyperlink ref="G10" r:id="rId7" xr:uid="{24CCF57A-0655-874B-AE10-5F33C991B719}"/>
    <hyperlink ref="G11" r:id="rId8" xr:uid="{DB64C415-45EF-1C43-B899-F369827EDAC3}"/>
    <hyperlink ref="G12" r:id="rId9" xr:uid="{A273993B-6751-FC43-A9C0-1933FF7E328E}"/>
    <hyperlink ref="G13" r:id="rId10" xr:uid="{E5B27382-B795-4047-9B63-8A6EFB5B59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0C78-4683-314D-B7FC-02EBE781CE7D}">
  <dimension ref="A1:D90"/>
  <sheetViews>
    <sheetView topLeftCell="A55" workbookViewId="0">
      <selection activeCell="A72" sqref="A72"/>
    </sheetView>
  </sheetViews>
  <sheetFormatPr baseColWidth="10" defaultRowHeight="16" x14ac:dyDescent="0.2"/>
  <cols>
    <col min="1" max="1" width="39" customWidth="1"/>
    <col min="2" max="4" width="11.6640625" bestFit="1" customWidth="1"/>
  </cols>
  <sheetData>
    <row r="1" spans="1:4" x14ac:dyDescent="0.2">
      <c r="A1" t="s">
        <v>38</v>
      </c>
    </row>
    <row r="3" spans="1:4" x14ac:dyDescent="0.2">
      <c r="A3" t="s">
        <v>39</v>
      </c>
    </row>
    <row r="4" spans="1:4" x14ac:dyDescent="0.2">
      <c r="B4" t="s">
        <v>40</v>
      </c>
      <c r="C4" t="s">
        <v>41</v>
      </c>
      <c r="D4" t="s">
        <v>42</v>
      </c>
    </row>
    <row r="5" spans="1:4" x14ac:dyDescent="0.2">
      <c r="A5" t="s">
        <v>43</v>
      </c>
      <c r="B5" s="21">
        <v>6159.2910000000002</v>
      </c>
      <c r="C5" s="21">
        <v>5933.45</v>
      </c>
      <c r="D5" s="21">
        <v>6053.4139999999998</v>
      </c>
    </row>
    <row r="6" spans="1:4" x14ac:dyDescent="0.2">
      <c r="A6" t="s">
        <v>44</v>
      </c>
      <c r="B6" s="21">
        <v>4049.08</v>
      </c>
      <c r="C6" s="21">
        <v>3921.99</v>
      </c>
      <c r="D6" s="21">
        <v>3947.8009999999999</v>
      </c>
    </row>
    <row r="7" spans="1:4" x14ac:dyDescent="0.2">
      <c r="A7" t="s">
        <v>147</v>
      </c>
      <c r="B7" s="20">
        <f>B5-B6</f>
        <v>2110.2110000000002</v>
      </c>
      <c r="C7" s="20">
        <f>C5-C6</f>
        <v>2011.46</v>
      </c>
      <c r="D7" s="20">
        <f>D5-D6</f>
        <v>2105.6129999999998</v>
      </c>
    </row>
    <row r="8" spans="1:4" x14ac:dyDescent="0.2">
      <c r="A8" t="s">
        <v>45</v>
      </c>
      <c r="B8" s="21">
        <v>1432.356</v>
      </c>
      <c r="C8" s="21">
        <v>1472.8209999999999</v>
      </c>
      <c r="D8" s="21">
        <v>1593.4290000000001</v>
      </c>
    </row>
    <row r="9" spans="1:4" x14ac:dyDescent="0.2">
      <c r="A9" t="s">
        <v>46</v>
      </c>
      <c r="B9" s="20">
        <f>B7-B8</f>
        <v>677.85500000000025</v>
      </c>
      <c r="C9" s="20">
        <f>C7-C8</f>
        <v>538.63900000000012</v>
      </c>
      <c r="D9" s="20">
        <f>D7-D8</f>
        <v>512.18399999999974</v>
      </c>
    </row>
    <row r="10" spans="1:4" x14ac:dyDescent="0.2">
      <c r="A10" t="s">
        <v>47</v>
      </c>
      <c r="B10" s="21">
        <v>46.051000000000002</v>
      </c>
      <c r="C10" s="21">
        <v>36.872999999999998</v>
      </c>
      <c r="D10" s="21">
        <v>36.213999999999999</v>
      </c>
    </row>
    <row r="11" spans="1:4" x14ac:dyDescent="0.2">
      <c r="A11" t="s">
        <v>48</v>
      </c>
      <c r="B11" s="21">
        <v>1.5249999999999999</v>
      </c>
      <c r="C11" s="21">
        <v>0.44900000000000001</v>
      </c>
      <c r="D11" s="21">
        <v>0</v>
      </c>
    </row>
    <row r="12" spans="1:4" x14ac:dyDescent="0.2">
      <c r="A12" t="s">
        <v>49</v>
      </c>
      <c r="B12" s="21">
        <v>32.877000000000002</v>
      </c>
      <c r="C12" s="21">
        <v>36.908000000000001</v>
      </c>
      <c r="D12" s="21">
        <v>10.087</v>
      </c>
    </row>
    <row r="13" spans="1:4" x14ac:dyDescent="0.2">
      <c r="A13" t="s">
        <v>50</v>
      </c>
      <c r="B13" s="20">
        <f>B9-B10-B11+B12</f>
        <v>663.15600000000018</v>
      </c>
      <c r="C13" s="20">
        <f>C9-C10-C11+C12</f>
        <v>538.22500000000014</v>
      </c>
      <c r="D13" s="20">
        <f>D9-D10-D11+D12</f>
        <v>486.05699999999973</v>
      </c>
    </row>
    <row r="14" spans="1:4" x14ac:dyDescent="0.2">
      <c r="A14" t="s">
        <v>51</v>
      </c>
      <c r="B14" s="21">
        <v>143.96600000000001</v>
      </c>
      <c r="C14" s="21">
        <v>119.77800000000001</v>
      </c>
      <c r="D14" s="21">
        <v>109.289</v>
      </c>
    </row>
    <row r="15" spans="1:4" x14ac:dyDescent="0.2">
      <c r="A15" t="s">
        <v>52</v>
      </c>
      <c r="B15" s="20">
        <f>B13-B14</f>
        <v>519.19000000000017</v>
      </c>
      <c r="C15" s="20">
        <f>C13-C14</f>
        <v>418.44700000000012</v>
      </c>
      <c r="D15" s="20">
        <f>D13-D14</f>
        <v>376.76799999999974</v>
      </c>
    </row>
    <row r="16" spans="1:4" x14ac:dyDescent="0.2">
      <c r="B16" s="20"/>
      <c r="C16" s="20"/>
      <c r="D16" s="20"/>
    </row>
    <row r="17" spans="1:4" x14ac:dyDescent="0.2">
      <c r="A17" t="s">
        <v>326</v>
      </c>
      <c r="B17" s="20">
        <f>B15/B18</f>
        <v>6.701906569079247</v>
      </c>
      <c r="C17" s="20">
        <f>C15/C18</f>
        <v>5.728384076223854</v>
      </c>
      <c r="D17" s="20">
        <f>D15/D18</f>
        <v>5.5379369138959893</v>
      </c>
    </row>
    <row r="18" spans="1:4" x14ac:dyDescent="0.2">
      <c r="A18" t="s">
        <v>53</v>
      </c>
      <c r="B18" s="21">
        <v>77.468999999999994</v>
      </c>
      <c r="C18" s="21">
        <v>73.048000000000002</v>
      </c>
      <c r="D18" s="21">
        <v>68.034000000000006</v>
      </c>
    </row>
    <row r="21" spans="1:4" x14ac:dyDescent="0.2">
      <c r="A21" t="s">
        <v>327</v>
      </c>
    </row>
    <row r="22" spans="1:4" x14ac:dyDescent="0.2">
      <c r="B22" t="s">
        <v>40</v>
      </c>
      <c r="C22" t="s">
        <v>41</v>
      </c>
      <c r="D22" t="s">
        <v>42</v>
      </c>
    </row>
    <row r="23" spans="1:4" x14ac:dyDescent="0.2">
      <c r="A23" t="s">
        <v>61</v>
      </c>
      <c r="B23" s="21">
        <v>347.92</v>
      </c>
      <c r="C23" s="21">
        <v>288.92899999999997</v>
      </c>
      <c r="D23" s="21">
        <v>330.32</v>
      </c>
    </row>
    <row r="24" spans="1:4" x14ac:dyDescent="0.2">
      <c r="A24" t="s">
        <v>62</v>
      </c>
      <c r="B24" s="21">
        <v>19.370999999999999</v>
      </c>
      <c r="C24" s="21">
        <v>16.759</v>
      </c>
      <c r="D24" s="21">
        <v>34.755000000000003</v>
      </c>
    </row>
    <row r="25" spans="1:4" x14ac:dyDescent="0.2">
      <c r="A25" t="s">
        <v>63</v>
      </c>
      <c r="B25" s="21">
        <v>1194.1590000000001</v>
      </c>
      <c r="C25" s="21">
        <v>1308.8399999999999</v>
      </c>
      <c r="D25" s="21">
        <v>1503.7560000000001</v>
      </c>
    </row>
    <row r="26" spans="1:4" x14ac:dyDescent="0.2">
      <c r="A26" t="s">
        <v>64</v>
      </c>
      <c r="B26" s="21">
        <v>83.45</v>
      </c>
      <c r="C26" s="21">
        <v>95.620999999999995</v>
      </c>
      <c r="D26" s="21">
        <v>82.456999999999994</v>
      </c>
    </row>
    <row r="27" spans="1:4" x14ac:dyDescent="0.2">
      <c r="A27" t="s">
        <v>65</v>
      </c>
      <c r="B27" s="21">
        <v>0</v>
      </c>
      <c r="C27" s="21">
        <v>0</v>
      </c>
      <c r="D27" s="21">
        <v>2.9569999999999999</v>
      </c>
    </row>
    <row r="28" spans="1:4" x14ac:dyDescent="0.2">
      <c r="A28" t="s">
        <v>66</v>
      </c>
      <c r="B28" s="20">
        <f>SUM(B23:B27)</f>
        <v>1644.9</v>
      </c>
      <c r="C28" s="20">
        <f>SUM(C23:C27)</f>
        <v>1710.1489999999999</v>
      </c>
      <c r="D28" s="20">
        <f>SUM(D23:D27)</f>
        <v>1954.2450000000001</v>
      </c>
    </row>
    <row r="29" spans="1:4" x14ac:dyDescent="0.2">
      <c r="B29" s="20"/>
      <c r="C29" s="20"/>
      <c r="D29" s="20"/>
    </row>
    <row r="30" spans="1:4" x14ac:dyDescent="0.2">
      <c r="A30" t="s">
        <v>67</v>
      </c>
      <c r="B30" s="21">
        <v>445.209</v>
      </c>
      <c r="C30" s="21">
        <v>525.13599999999997</v>
      </c>
      <c r="D30" s="21">
        <v>584.10299999999995</v>
      </c>
    </row>
    <row r="31" spans="1:4" x14ac:dyDescent="0.2">
      <c r="A31" t="s">
        <v>68</v>
      </c>
      <c r="B31" s="21">
        <v>1111.2370000000001</v>
      </c>
      <c r="C31" s="21">
        <v>1173.075</v>
      </c>
      <c r="D31" s="21">
        <v>1234.2460000000001</v>
      </c>
    </row>
    <row r="32" spans="1:4" x14ac:dyDescent="0.2">
      <c r="A32" t="s">
        <v>69</v>
      </c>
      <c r="B32" s="21">
        <v>578.23599999999999</v>
      </c>
      <c r="C32" s="21">
        <v>579.00699999999995</v>
      </c>
      <c r="D32" s="21">
        <v>579.76599999999996</v>
      </c>
    </row>
    <row r="33" spans="1:4" x14ac:dyDescent="0.2">
      <c r="A33" t="s">
        <v>70</v>
      </c>
      <c r="B33" s="21">
        <v>861.92</v>
      </c>
      <c r="C33" s="21">
        <v>861.92</v>
      </c>
      <c r="D33" s="21">
        <v>861.92</v>
      </c>
    </row>
    <row r="34" spans="1:4" x14ac:dyDescent="0.2">
      <c r="A34" t="s">
        <v>71</v>
      </c>
      <c r="B34" s="21">
        <v>35.210999999999999</v>
      </c>
      <c r="C34" s="21">
        <v>51.676000000000002</v>
      </c>
      <c r="D34" s="21">
        <v>62.756</v>
      </c>
    </row>
    <row r="35" spans="1:4" x14ac:dyDescent="0.2">
      <c r="A35" t="s">
        <v>72</v>
      </c>
      <c r="B35" s="20">
        <f>B28+SUM(B30:B34)</f>
        <v>4676.7129999999997</v>
      </c>
      <c r="C35" s="20">
        <f>C28+SUM(C30:C34)</f>
        <v>4900.9629999999997</v>
      </c>
      <c r="D35" s="20">
        <f>D28+SUM(D30:D34)</f>
        <v>5277.0360000000001</v>
      </c>
    </row>
    <row r="38" spans="1:4" x14ac:dyDescent="0.2">
      <c r="A38" t="s">
        <v>73</v>
      </c>
    </row>
    <row r="39" spans="1:4" x14ac:dyDescent="0.2">
      <c r="B39" t="s">
        <v>40</v>
      </c>
      <c r="C39" t="s">
        <v>41</v>
      </c>
      <c r="D39" t="s">
        <v>42</v>
      </c>
    </row>
    <row r="40" spans="1:4" x14ac:dyDescent="0.2">
      <c r="A40" t="s">
        <v>74</v>
      </c>
      <c r="B40" s="21">
        <v>541.077</v>
      </c>
      <c r="C40" s="21">
        <v>612.42399999999998</v>
      </c>
      <c r="D40" s="21">
        <v>637.85400000000004</v>
      </c>
    </row>
    <row r="41" spans="1:4" x14ac:dyDescent="0.2">
      <c r="A41" t="s">
        <v>328</v>
      </c>
      <c r="B41" s="21">
        <v>217.93199999999999</v>
      </c>
      <c r="C41" s="21">
        <v>230.32300000000001</v>
      </c>
      <c r="D41" s="21">
        <v>243.90799999999999</v>
      </c>
    </row>
    <row r="42" spans="1:4" x14ac:dyDescent="0.2">
      <c r="A42" t="s">
        <v>76</v>
      </c>
      <c r="B42" s="21">
        <v>117.849</v>
      </c>
      <c r="C42" s="21">
        <v>115.134</v>
      </c>
      <c r="D42" s="21">
        <v>147.49100000000001</v>
      </c>
    </row>
    <row r="43" spans="1:4" x14ac:dyDescent="0.2">
      <c r="A43" t="s">
        <v>77</v>
      </c>
      <c r="B43" s="21">
        <v>3</v>
      </c>
      <c r="C43" s="21">
        <v>3</v>
      </c>
      <c r="D43" s="21">
        <v>3</v>
      </c>
    </row>
    <row r="44" spans="1:4" x14ac:dyDescent="0.2">
      <c r="A44" t="s">
        <v>78</v>
      </c>
      <c r="B44" s="20">
        <f>SUM(B40:B43)</f>
        <v>879.85800000000006</v>
      </c>
      <c r="C44" s="20">
        <f>SUM(C40:C43)</f>
        <v>960.88099999999997</v>
      </c>
      <c r="D44" s="20">
        <f>SUM(D40:D43)</f>
        <v>1032.2530000000002</v>
      </c>
    </row>
    <row r="45" spans="1:4" x14ac:dyDescent="0.2">
      <c r="B45" s="20"/>
      <c r="C45" s="20"/>
      <c r="D45" s="20"/>
    </row>
    <row r="46" spans="1:4" x14ac:dyDescent="0.2">
      <c r="A46" t="s">
        <v>79</v>
      </c>
      <c r="B46" s="21">
        <v>484.55099999999999</v>
      </c>
      <c r="C46" s="21">
        <v>482.67899999999997</v>
      </c>
      <c r="D46" s="21">
        <v>480.79300000000001</v>
      </c>
    </row>
    <row r="47" spans="1:4" x14ac:dyDescent="0.2">
      <c r="A47" t="s">
        <v>80</v>
      </c>
      <c r="B47" s="21">
        <v>1091.2940000000001</v>
      </c>
      <c r="C47" s="21">
        <v>1185.741</v>
      </c>
      <c r="D47" s="21">
        <v>1261.1669999999999</v>
      </c>
    </row>
    <row r="48" spans="1:4" x14ac:dyDescent="0.2">
      <c r="A48" t="s">
        <v>81</v>
      </c>
      <c r="B48" s="21">
        <v>254.79599999999999</v>
      </c>
      <c r="C48" s="21">
        <v>256.815</v>
      </c>
      <c r="D48" s="21">
        <v>300.654</v>
      </c>
    </row>
    <row r="49" spans="1:4" x14ac:dyDescent="0.2">
      <c r="A49" t="s">
        <v>82</v>
      </c>
      <c r="B49" s="21">
        <v>11.564</v>
      </c>
      <c r="C49" s="21">
        <v>10.811999999999999</v>
      </c>
      <c r="D49" s="21">
        <v>30.792000000000002</v>
      </c>
    </row>
    <row r="50" spans="1:4" x14ac:dyDescent="0.2">
      <c r="A50" t="s">
        <v>83</v>
      </c>
      <c r="B50" s="20">
        <f>B44+SUM(B46:B49)</f>
        <v>2722.0630000000001</v>
      </c>
      <c r="C50" s="20">
        <f>C44+SUM(C46:C49)</f>
        <v>2896.9279999999999</v>
      </c>
      <c r="D50" s="20">
        <f>D44+SUM(D46:D49)</f>
        <v>3105.6590000000001</v>
      </c>
    </row>
    <row r="51" spans="1:4" x14ac:dyDescent="0.2">
      <c r="B51" s="20"/>
      <c r="C51" s="20"/>
      <c r="D51" s="20"/>
    </row>
    <row r="52" spans="1:4" x14ac:dyDescent="0.2">
      <c r="A52" t="s">
        <v>84</v>
      </c>
      <c r="B52" s="21">
        <v>0.74299999999999999</v>
      </c>
      <c r="C52" s="21">
        <v>0.68300000000000005</v>
      </c>
      <c r="D52" s="21">
        <v>0.64900000000000002</v>
      </c>
    </row>
    <row r="53" spans="1:4" x14ac:dyDescent="0.2">
      <c r="A53" t="s">
        <v>85</v>
      </c>
      <c r="B53" s="21">
        <v>242.09800000000001</v>
      </c>
      <c r="C53" s="21">
        <v>247.09399999999999</v>
      </c>
      <c r="D53" s="21">
        <v>256.351</v>
      </c>
    </row>
    <row r="54" spans="1:4" x14ac:dyDescent="0.2">
      <c r="A54" t="s">
        <v>86</v>
      </c>
      <c r="B54" s="21">
        <v>1711.809</v>
      </c>
      <c r="C54" s="21">
        <v>1756.258</v>
      </c>
      <c r="D54" s="21">
        <v>1914.377</v>
      </c>
    </row>
    <row r="55" spans="1:4" x14ac:dyDescent="0.2">
      <c r="A55" t="s">
        <v>87</v>
      </c>
      <c r="B55" s="20">
        <f>SUM(B52:B54)</f>
        <v>1954.65</v>
      </c>
      <c r="C55" s="20">
        <f>SUM(C52:C54)</f>
        <v>2004.0350000000001</v>
      </c>
      <c r="D55" s="20">
        <f>SUM(D52:D54)</f>
        <v>2171.377</v>
      </c>
    </row>
    <row r="56" spans="1:4" x14ac:dyDescent="0.2">
      <c r="A56" t="s">
        <v>88</v>
      </c>
      <c r="B56" s="20">
        <f>B50+B55</f>
        <v>4676.7129999999997</v>
      </c>
      <c r="C56" s="20">
        <f>C50+C55</f>
        <v>4900.9629999999997</v>
      </c>
      <c r="D56" s="20">
        <f>D50+D55</f>
        <v>5277.0360000000001</v>
      </c>
    </row>
    <row r="57" spans="1:4" x14ac:dyDescent="0.2">
      <c r="B57" s="20"/>
      <c r="C57" s="20"/>
      <c r="D57" s="20"/>
    </row>
    <row r="58" spans="1:4" x14ac:dyDescent="0.2">
      <c r="A58" t="s">
        <v>89</v>
      </c>
      <c r="B58" s="20">
        <f>B35-B56</f>
        <v>0</v>
      </c>
      <c r="C58" s="20">
        <f>C35-C56</f>
        <v>0</v>
      </c>
      <c r="D58" s="20">
        <f>D35-D56</f>
        <v>0</v>
      </c>
    </row>
    <row r="60" spans="1:4" x14ac:dyDescent="0.2">
      <c r="A60" t="s">
        <v>90</v>
      </c>
    </row>
    <row r="61" spans="1:4" x14ac:dyDescent="0.2">
      <c r="B61" t="s">
        <v>40</v>
      </c>
      <c r="C61" t="s">
        <v>41</v>
      </c>
      <c r="D61" t="s">
        <v>42</v>
      </c>
    </row>
    <row r="62" spans="1:4" x14ac:dyDescent="0.2">
      <c r="A62" t="s">
        <v>52</v>
      </c>
      <c r="B62" s="20">
        <f>B15</f>
        <v>519.19000000000017</v>
      </c>
      <c r="C62" s="20">
        <f>C15</f>
        <v>418.44700000000012</v>
      </c>
      <c r="D62" s="20">
        <f>D15</f>
        <v>376.76799999999974</v>
      </c>
    </row>
    <row r="63" spans="1:4" x14ac:dyDescent="0.2">
      <c r="A63" t="s">
        <v>91</v>
      </c>
      <c r="B63" s="21">
        <v>110.93600000000001</v>
      </c>
      <c r="C63" s="21">
        <v>118.07</v>
      </c>
      <c r="D63" s="21">
        <v>122.866</v>
      </c>
    </row>
    <row r="64" spans="1:4" x14ac:dyDescent="0.2">
      <c r="A64" t="s">
        <v>329</v>
      </c>
      <c r="B64" s="21">
        <v>16.722999999999999</v>
      </c>
      <c r="C64" s="21">
        <v>30.295000000000002</v>
      </c>
      <c r="D64" s="21">
        <v>46.212000000000003</v>
      </c>
    </row>
    <row r="65" spans="1:4" x14ac:dyDescent="0.2">
      <c r="A65" t="s">
        <v>93</v>
      </c>
      <c r="B65" s="21">
        <v>24.376999999999999</v>
      </c>
      <c r="C65" s="21">
        <v>26.629000000000001</v>
      </c>
      <c r="D65" s="21">
        <v>21.175999999999998</v>
      </c>
    </row>
    <row r="66" spans="1:4" x14ac:dyDescent="0.2">
      <c r="A66" t="s">
        <v>94</v>
      </c>
      <c r="B66" s="21">
        <v>-4.2469999999999999</v>
      </c>
      <c r="C66" s="21">
        <v>2.02</v>
      </c>
      <c r="D66" s="21">
        <v>43.838999999999999</v>
      </c>
    </row>
    <row r="67" spans="1:4" x14ac:dyDescent="0.2">
      <c r="A67" t="s">
        <v>95</v>
      </c>
      <c r="B67" s="21">
        <v>3.8759999999999999</v>
      </c>
      <c r="C67" s="21">
        <v>-4.0389999999999997</v>
      </c>
      <c r="D67" s="21">
        <v>-12.827</v>
      </c>
    </row>
    <row r="68" spans="1:4" x14ac:dyDescent="0.2">
      <c r="A68" t="s">
        <v>96</v>
      </c>
      <c r="B68" s="21">
        <v>-135.07599999999999</v>
      </c>
      <c r="C68" s="21">
        <v>-63.34</v>
      </c>
      <c r="D68" s="21">
        <v>-163.23599999999999</v>
      </c>
    </row>
    <row r="69" spans="1:4" x14ac:dyDescent="0.2">
      <c r="A69" t="s">
        <v>97</v>
      </c>
      <c r="B69" s="20">
        <f>SUM(B62:B68)</f>
        <v>535.77900000000011</v>
      </c>
      <c r="C69" s="20">
        <f>SUM(C62:C68)</f>
        <v>528.08199999999999</v>
      </c>
      <c r="D69" s="20">
        <f>SUM(D62:D68)</f>
        <v>434.79799999999989</v>
      </c>
    </row>
    <row r="70" spans="1:4" x14ac:dyDescent="0.2">
      <c r="B70" s="20"/>
      <c r="C70" s="20"/>
      <c r="D70" s="20"/>
    </row>
    <row r="71" spans="1:4" x14ac:dyDescent="0.2">
      <c r="A71" t="s">
        <v>330</v>
      </c>
      <c r="B71" s="21">
        <v>-207.77</v>
      </c>
      <c r="C71" s="21">
        <v>-199.589</v>
      </c>
      <c r="D71" s="21">
        <v>-212.66800000000001</v>
      </c>
    </row>
    <row r="72" spans="1:4" x14ac:dyDescent="0.2">
      <c r="A72" t="s">
        <v>99</v>
      </c>
      <c r="B72" s="21">
        <v>-0.52</v>
      </c>
      <c r="C72" s="21">
        <v>-0.77100000000000002</v>
      </c>
      <c r="D72" s="21">
        <v>-0.75900000000000001</v>
      </c>
    </row>
    <row r="73" spans="1:4" x14ac:dyDescent="0.2">
      <c r="A73" t="s">
        <v>100</v>
      </c>
      <c r="B73" s="21">
        <v>2.1509999999999998</v>
      </c>
      <c r="C73" s="21">
        <v>14.24</v>
      </c>
      <c r="D73" s="21">
        <v>41.39</v>
      </c>
    </row>
    <row r="74" spans="1:4" x14ac:dyDescent="0.2">
      <c r="A74" t="s">
        <v>101</v>
      </c>
      <c r="B74" s="20">
        <f>SUM(B71:B73)</f>
        <v>-206.13900000000001</v>
      </c>
      <c r="C74" s="20">
        <f>SUM(C71:C73)</f>
        <v>-186.11999999999998</v>
      </c>
      <c r="D74" s="20">
        <f>SUM(D71:D73)</f>
        <v>-172.03699999999998</v>
      </c>
    </row>
    <row r="75" spans="1:4" x14ac:dyDescent="0.2">
      <c r="B75" s="20"/>
      <c r="C75" s="20"/>
      <c r="D75" s="20"/>
    </row>
    <row r="76" spans="1:4" x14ac:dyDescent="0.2">
      <c r="A76" t="s">
        <v>102</v>
      </c>
      <c r="B76" s="21">
        <v>0</v>
      </c>
      <c r="C76" s="21">
        <v>3.9</v>
      </c>
      <c r="D76" s="21">
        <v>0</v>
      </c>
    </row>
    <row r="77" spans="1:4" x14ac:dyDescent="0.2">
      <c r="A77" t="s">
        <v>103</v>
      </c>
      <c r="B77" s="21">
        <v>0</v>
      </c>
      <c r="C77" s="21">
        <v>-3.9</v>
      </c>
      <c r="D77" s="21">
        <v>0</v>
      </c>
    </row>
    <row r="78" spans="1:4" x14ac:dyDescent="0.2">
      <c r="A78" t="s">
        <v>104</v>
      </c>
      <c r="B78" s="21">
        <v>-103</v>
      </c>
      <c r="C78" s="21">
        <v>-3</v>
      </c>
      <c r="D78" s="21">
        <v>-3</v>
      </c>
    </row>
    <row r="79" spans="1:4" x14ac:dyDescent="0.2">
      <c r="A79" t="s">
        <v>105</v>
      </c>
      <c r="B79" s="21">
        <v>0</v>
      </c>
      <c r="C79" s="21">
        <v>-5.6890000000000001</v>
      </c>
      <c r="D79" s="21">
        <v>0</v>
      </c>
    </row>
    <row r="80" spans="1:4" x14ac:dyDescent="0.2">
      <c r="A80" t="s">
        <v>106</v>
      </c>
      <c r="B80" s="21">
        <v>22.12</v>
      </c>
      <c r="C80" s="21">
        <v>9.5709999999999997</v>
      </c>
      <c r="D80" s="34">
        <v>9.5839999999999996</v>
      </c>
    </row>
    <row r="81" spans="1:4" x14ac:dyDescent="0.2">
      <c r="A81" t="s">
        <v>107</v>
      </c>
      <c r="B81" s="21">
        <v>-202.79599999999999</v>
      </c>
      <c r="C81" s="21">
        <v>-364.91199999999998</v>
      </c>
      <c r="D81" s="21">
        <v>-198.97800000000001</v>
      </c>
    </row>
    <row r="82" spans="1:4" x14ac:dyDescent="0.2">
      <c r="A82" t="s">
        <v>108</v>
      </c>
      <c r="B82" s="21">
        <v>-27.218</v>
      </c>
      <c r="C82" s="21">
        <v>-31.463000000000001</v>
      </c>
      <c r="D82" s="21">
        <v>-34.656999999999996</v>
      </c>
    </row>
    <row r="83" spans="1:4" x14ac:dyDescent="0.2">
      <c r="A83" t="s">
        <v>109</v>
      </c>
      <c r="B83" s="21">
        <v>-7.9710000000000001</v>
      </c>
      <c r="C83" s="21">
        <v>-5.46</v>
      </c>
      <c r="D83" s="21">
        <v>5.681</v>
      </c>
    </row>
    <row r="84" spans="1:4" x14ac:dyDescent="0.2">
      <c r="A84" t="s">
        <v>110</v>
      </c>
      <c r="B84" s="20">
        <f>SUM(B76:B83)</f>
        <v>-318.86500000000001</v>
      </c>
      <c r="C84" s="20">
        <f>SUM(C76:C83)</f>
        <v>-400.95299999999997</v>
      </c>
      <c r="D84" s="20">
        <f>SUM(D76:D83)</f>
        <v>-221.36999999999998</v>
      </c>
    </row>
    <row r="85" spans="1:4" x14ac:dyDescent="0.2">
      <c r="B85" s="20"/>
      <c r="C85" s="20"/>
      <c r="D85" s="20"/>
    </row>
    <row r="86" spans="1:4" x14ac:dyDescent="0.2">
      <c r="A86" t="s">
        <v>111</v>
      </c>
      <c r="B86" s="20">
        <f>SUM(B69,B74,B84)</f>
        <v>10.775000000000091</v>
      </c>
      <c r="C86" s="20">
        <f>SUM(C69,C74,C84)</f>
        <v>-58.990999999999985</v>
      </c>
      <c r="D86" s="20">
        <f>SUM(D69,D74,D84)</f>
        <v>41.390999999999934</v>
      </c>
    </row>
    <row r="87" spans="1:4" x14ac:dyDescent="0.2">
      <c r="A87" t="s">
        <v>112</v>
      </c>
      <c r="B87" s="21">
        <v>337.14499999999998</v>
      </c>
      <c r="C87" s="21">
        <v>347.92</v>
      </c>
      <c r="D87" s="21">
        <v>288.92899999999997</v>
      </c>
    </row>
    <row r="88" spans="1:4" x14ac:dyDescent="0.2">
      <c r="A88" t="s">
        <v>113</v>
      </c>
      <c r="B88" s="20">
        <f>B87+B86</f>
        <v>347.92000000000007</v>
      </c>
      <c r="C88" s="20">
        <f>C87+C86</f>
        <v>288.92900000000003</v>
      </c>
      <c r="D88" s="20">
        <f>D87+D86</f>
        <v>330.31999999999994</v>
      </c>
    </row>
    <row r="89" spans="1:4" x14ac:dyDescent="0.2">
      <c r="A89" t="s">
        <v>114</v>
      </c>
      <c r="B89" s="20">
        <f>B88-B23</f>
        <v>0</v>
      </c>
      <c r="C89" s="20">
        <f>C88-C23</f>
        <v>0</v>
      </c>
      <c r="D89" s="20">
        <f>D88-D23</f>
        <v>0</v>
      </c>
    </row>
    <row r="90" spans="1:4" x14ac:dyDescent="0.2">
      <c r="B90" s="20"/>
      <c r="C90" s="20"/>
      <c r="D9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462A-5E17-9E4C-A3E6-D198878CD75C}">
  <dimension ref="A1:J26"/>
  <sheetViews>
    <sheetView workbookViewId="0">
      <selection activeCell="B9" sqref="B9"/>
    </sheetView>
  </sheetViews>
  <sheetFormatPr baseColWidth="10" defaultRowHeight="16" x14ac:dyDescent="0.2"/>
  <cols>
    <col min="1" max="1" width="29.5" customWidth="1"/>
  </cols>
  <sheetData>
    <row r="1" spans="1:10" x14ac:dyDescent="0.2">
      <c r="A1" t="s">
        <v>115</v>
      </c>
    </row>
    <row r="2" spans="1:10" x14ac:dyDescent="0.2">
      <c r="H2" t="s">
        <v>143</v>
      </c>
    </row>
    <row r="3" spans="1:10" x14ac:dyDescent="0.2">
      <c r="B3" t="s">
        <v>116</v>
      </c>
      <c r="C3" t="s">
        <v>117</v>
      </c>
      <c r="D3" t="s">
        <v>118</v>
      </c>
      <c r="E3" t="s">
        <v>119</v>
      </c>
      <c r="F3" t="s">
        <v>120</v>
      </c>
      <c r="H3" t="s">
        <v>40</v>
      </c>
      <c r="I3" t="s">
        <v>41</v>
      </c>
      <c r="J3" t="s">
        <v>42</v>
      </c>
    </row>
    <row r="5" spans="1:10" x14ac:dyDescent="0.2">
      <c r="A5" t="s">
        <v>121</v>
      </c>
    </row>
    <row r="6" spans="1:10" x14ac:dyDescent="0.2">
      <c r="A6" t="s">
        <v>127</v>
      </c>
      <c r="B6" s="14">
        <v>0.01</v>
      </c>
      <c r="C6" s="14">
        <v>0.02</v>
      </c>
      <c r="D6" s="14">
        <v>0.02</v>
      </c>
      <c r="E6" s="14">
        <v>0.02</v>
      </c>
      <c r="F6" s="14">
        <v>0.02</v>
      </c>
    </row>
    <row r="7" spans="1:10" x14ac:dyDescent="0.2">
      <c r="A7" t="s">
        <v>126</v>
      </c>
      <c r="B7" s="14">
        <v>0.03</v>
      </c>
      <c r="C7" s="14">
        <v>0.03</v>
      </c>
      <c r="D7" s="14">
        <v>2.5000000000000001E-2</v>
      </c>
      <c r="E7" s="14">
        <v>2.5000000000000001E-2</v>
      </c>
      <c r="F7" s="14">
        <v>0.02</v>
      </c>
    </row>
    <row r="8" spans="1:10" x14ac:dyDescent="0.2">
      <c r="A8" t="s">
        <v>122</v>
      </c>
      <c r="B8" s="13">
        <f>SUM(B6:B7)</f>
        <v>0.04</v>
      </c>
      <c r="C8" s="13">
        <f>SUM(C6:C7)</f>
        <v>0.05</v>
      </c>
      <c r="D8" s="13">
        <f>SUM(D6:D7)</f>
        <v>4.4999999999999998E-2</v>
      </c>
      <c r="E8" s="13">
        <f>SUM(E6:E7)</f>
        <v>4.4999999999999998E-2</v>
      </c>
      <c r="F8" s="13">
        <f>SUM(F6:F7)</f>
        <v>0.04</v>
      </c>
    </row>
    <row r="9" spans="1:10" x14ac:dyDescent="0.2">
      <c r="A9" t="s">
        <v>123</v>
      </c>
      <c r="B9" s="14">
        <v>0.34749999999999998</v>
      </c>
      <c r="C9" s="14">
        <v>0.34799999999999998</v>
      </c>
      <c r="D9" s="14">
        <v>0.34899999999999998</v>
      </c>
      <c r="E9" s="14">
        <v>0.35</v>
      </c>
      <c r="F9" s="14">
        <v>0.35</v>
      </c>
    </row>
    <row r="10" spans="1:10" x14ac:dyDescent="0.2">
      <c r="A10" t="s">
        <v>124</v>
      </c>
      <c r="B10" s="14">
        <v>0.26100000000000001</v>
      </c>
      <c r="C10" s="14">
        <v>0.26</v>
      </c>
      <c r="D10" s="14">
        <v>0.25900000000000001</v>
      </c>
      <c r="E10" s="14">
        <v>0.25800000000000001</v>
      </c>
      <c r="F10" s="14">
        <v>0.25800000000000001</v>
      </c>
    </row>
    <row r="11" spans="1:10" x14ac:dyDescent="0.2">
      <c r="A11" t="s">
        <v>125</v>
      </c>
      <c r="B11" s="14">
        <v>0.22500000000000001</v>
      </c>
      <c r="C11" s="14">
        <v>0.22500000000000001</v>
      </c>
      <c r="D11" s="14">
        <v>0.22500000000000001</v>
      </c>
      <c r="E11" s="14">
        <v>0.22500000000000001</v>
      </c>
      <c r="F11" s="14">
        <v>0.22500000000000001</v>
      </c>
    </row>
    <row r="14" spans="1:10" x14ac:dyDescent="0.2">
      <c r="A14" t="s">
        <v>135</v>
      </c>
    </row>
    <row r="15" spans="1:10" x14ac:dyDescent="0.2">
      <c r="A15" t="s">
        <v>136</v>
      </c>
      <c r="B15" s="14">
        <v>4.0000000000000001E-3</v>
      </c>
      <c r="C15" s="14">
        <v>4.0000000000000001E-3</v>
      </c>
      <c r="D15" s="14">
        <v>4.0000000000000001E-3</v>
      </c>
      <c r="E15" s="14">
        <v>4.0000000000000001E-3</v>
      </c>
      <c r="F15" s="14">
        <v>4.0000000000000001E-3</v>
      </c>
      <c r="H15" s="18">
        <f>Historicals!B24/Historicals!B5</f>
        <v>3.1450048390309856E-3</v>
      </c>
      <c r="I15" s="18">
        <f>Historicals!C24/Historicals!C5</f>
        <v>2.8244950239742477E-3</v>
      </c>
      <c r="J15" s="18">
        <f>Historicals!D24/Historicals!D5</f>
        <v>5.7413882480200438E-3</v>
      </c>
    </row>
    <row r="16" spans="1:10" x14ac:dyDescent="0.2">
      <c r="A16" t="s">
        <v>137</v>
      </c>
      <c r="B16" s="14">
        <v>0.245</v>
      </c>
      <c r="C16" s="14">
        <v>0.24</v>
      </c>
      <c r="D16" s="14">
        <v>0.23499999999999999</v>
      </c>
      <c r="E16" s="14">
        <v>0.23</v>
      </c>
      <c r="F16" s="14">
        <v>0.23</v>
      </c>
      <c r="H16" s="18">
        <f>Historicals!B25/Historicals!B5</f>
        <v>0.19387929552281263</v>
      </c>
      <c r="I16" s="18">
        <f>Historicals!C25/Historicals!C5</f>
        <v>0.2205866738575365</v>
      </c>
      <c r="J16" s="18">
        <f>Historicals!D25/Historicals!D5</f>
        <v>0.24841453103983968</v>
      </c>
    </row>
    <row r="17" spans="1:10" x14ac:dyDescent="0.2">
      <c r="A17" t="s">
        <v>138</v>
      </c>
      <c r="B17" s="14">
        <v>1.4999999999999999E-2</v>
      </c>
      <c r="C17" s="14">
        <v>1.4999999999999999E-2</v>
      </c>
      <c r="D17" s="14">
        <v>1.4999999999999999E-2</v>
      </c>
      <c r="E17" s="14">
        <v>1.4999999999999999E-2</v>
      </c>
      <c r="F17" s="14">
        <v>1.4999999999999999E-2</v>
      </c>
      <c r="H17" s="18">
        <f>Historicals!B26/Historicals!B5</f>
        <v>1.354863733504392E-2</v>
      </c>
      <c r="I17" s="18">
        <f>Historicals!C26/Historicals!C5</f>
        <v>1.6115581996983205E-2</v>
      </c>
      <c r="J17" s="18">
        <f>Historicals!D26/Historicals!D5</f>
        <v>1.3621569580405371E-2</v>
      </c>
    </row>
    <row r="18" spans="1:10" x14ac:dyDescent="0.2">
      <c r="A18" t="s">
        <v>139</v>
      </c>
      <c r="B18" s="14">
        <v>0.16</v>
      </c>
      <c r="C18" s="14">
        <v>0.16</v>
      </c>
      <c r="D18" s="14">
        <v>0.16</v>
      </c>
      <c r="E18" s="14">
        <v>0.16</v>
      </c>
      <c r="F18" s="14">
        <v>0.16</v>
      </c>
      <c r="H18" s="13">
        <f>Historicals!B40/Historicals!B6</f>
        <v>0.1336296146285082</v>
      </c>
      <c r="I18" s="13">
        <f>Historicals!C40/Historicals!C6</f>
        <v>0.1561513415383517</v>
      </c>
      <c r="J18" s="13">
        <f>Historicals!D40/Historicals!D6</f>
        <v>0.16157197386595729</v>
      </c>
    </row>
    <row r="19" spans="1:10" x14ac:dyDescent="0.2">
      <c r="A19" t="s">
        <v>140</v>
      </c>
      <c r="B19" s="14">
        <v>0.04</v>
      </c>
      <c r="C19" s="14">
        <v>0.04</v>
      </c>
      <c r="D19" s="14">
        <v>0.04</v>
      </c>
      <c r="E19" s="14">
        <v>0.04</v>
      </c>
      <c r="F19" s="14">
        <v>0.04</v>
      </c>
      <c r="H19" s="13">
        <f>Historicals!B41/Historicals!B5</f>
        <v>3.5382643878978923E-2</v>
      </c>
      <c r="I19" s="13">
        <f>Historicals!C41/Historicals!C5</f>
        <v>3.8817719876294572E-2</v>
      </c>
      <c r="J19" s="13">
        <f>Historicals!D41/Historicals!D5</f>
        <v>4.0292634866870167E-2</v>
      </c>
    </row>
    <row r="20" spans="1:10" x14ac:dyDescent="0.2">
      <c r="A20" t="s">
        <v>141</v>
      </c>
      <c r="B20" s="14">
        <v>3.5000000000000003E-2</v>
      </c>
      <c r="C20" s="14">
        <v>3.5000000000000003E-2</v>
      </c>
      <c r="D20" s="14">
        <v>3.5000000000000003E-2</v>
      </c>
      <c r="E20" s="14">
        <v>3.5000000000000003E-2</v>
      </c>
      <c r="F20" s="14">
        <v>3.5000000000000003E-2</v>
      </c>
      <c r="H20" s="13">
        <f>-Historicals!B71/Historicals!B5</f>
        <v>3.373277865910216E-2</v>
      </c>
      <c r="I20" s="13">
        <f>-Historicals!C71/Historicals!C5</f>
        <v>3.3637934085565736E-2</v>
      </c>
      <c r="J20" s="13">
        <f>-Historicals!D71/Historicals!D5</f>
        <v>3.5131910687093267E-2</v>
      </c>
    </row>
    <row r="21" spans="1:10" x14ac:dyDescent="0.2">
      <c r="A21" t="s">
        <v>144</v>
      </c>
      <c r="B21" s="14">
        <v>0.25</v>
      </c>
      <c r="C21" s="14">
        <v>0.25</v>
      </c>
      <c r="D21" s="14">
        <v>0.25</v>
      </c>
      <c r="E21" s="14">
        <v>0.25</v>
      </c>
      <c r="F21" s="14">
        <v>0.25</v>
      </c>
      <c r="I21" s="13">
        <f>Historicals!C63/Historicals!B30</f>
        <v>0.26520128748520355</v>
      </c>
      <c r="J21" s="13">
        <f>Historicals!D63/Historicals!C30</f>
        <v>0.2339698668535389</v>
      </c>
    </row>
    <row r="22" spans="1:10" x14ac:dyDescent="0.2">
      <c r="A22" t="s">
        <v>142</v>
      </c>
      <c r="B22" s="14">
        <v>0.1</v>
      </c>
      <c r="C22" s="14">
        <v>0.08</v>
      </c>
      <c r="D22" s="14">
        <v>7.0000000000000007E-2</v>
      </c>
      <c r="E22" s="14">
        <v>0.06</v>
      </c>
      <c r="F22" s="14">
        <v>0.05</v>
      </c>
      <c r="I22" s="13">
        <f>ABS(Historicals!C82)/ABS(Historicals!B82)-1</f>
        <v>0.15596296568447365</v>
      </c>
      <c r="J22" s="13">
        <f>ABS(Historicals!D82)/ABS(Historicals!C82)-1</f>
        <v>0.10151606649079858</v>
      </c>
    </row>
    <row r="23" spans="1:10" x14ac:dyDescent="0.2">
      <c r="A23" t="s">
        <v>145</v>
      </c>
      <c r="B23" s="21">
        <v>200</v>
      </c>
      <c r="C23" s="21">
        <v>200</v>
      </c>
      <c r="D23" s="21">
        <v>200</v>
      </c>
      <c r="E23" s="21">
        <v>200</v>
      </c>
      <c r="F23" s="21">
        <v>200</v>
      </c>
      <c r="H23" s="19">
        <f>-Historicals!B81</f>
        <v>202.79599999999999</v>
      </c>
      <c r="I23" s="19">
        <f>-Historicals!C81</f>
        <v>364.91199999999998</v>
      </c>
      <c r="J23" s="19">
        <f>-Historicals!D81</f>
        <v>198.97800000000001</v>
      </c>
    </row>
    <row r="24" spans="1:10" x14ac:dyDescent="0.2">
      <c r="A24" t="s">
        <v>150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</row>
    <row r="25" spans="1:10" x14ac:dyDescent="0.2">
      <c r="A25" t="s">
        <v>151</v>
      </c>
      <c r="B25" s="14">
        <v>0.20499999999999999</v>
      </c>
      <c r="C25" s="14">
        <v>0.20499999999999999</v>
      </c>
      <c r="D25" s="14">
        <v>0.20499999999999999</v>
      </c>
      <c r="E25" s="14">
        <v>0.20499999999999999</v>
      </c>
      <c r="F25" s="14">
        <v>0.20499999999999999</v>
      </c>
    </row>
    <row r="26" spans="1:10" x14ac:dyDescent="0.2">
      <c r="A26" t="s">
        <v>152</v>
      </c>
      <c r="B26" s="14">
        <v>0.01</v>
      </c>
      <c r="C26" s="14">
        <v>0.01</v>
      </c>
      <c r="D26" s="14">
        <v>0.01</v>
      </c>
      <c r="E26" s="14">
        <v>0.01</v>
      </c>
      <c r="F26" s="14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8107-A1CE-B148-BD16-163DD058CB54}">
  <dimension ref="A1:I13"/>
  <sheetViews>
    <sheetView workbookViewId="0">
      <selection activeCell="F5" sqref="F5"/>
    </sheetView>
  </sheetViews>
  <sheetFormatPr baseColWidth="10" defaultRowHeight="16" x14ac:dyDescent="0.2"/>
  <cols>
    <col min="1" max="1" width="36.5" customWidth="1"/>
    <col min="2" max="8" width="11.5" bestFit="1" customWidth="1"/>
    <col min="9" max="9" width="11.5" customWidth="1"/>
  </cols>
  <sheetData>
    <row r="1" spans="1:9" x14ac:dyDescent="0.2">
      <c r="A1" t="s">
        <v>146</v>
      </c>
    </row>
    <row r="3" spans="1:9" x14ac:dyDescent="0.2">
      <c r="B3" t="s">
        <v>40</v>
      </c>
      <c r="C3" t="s">
        <v>41</v>
      </c>
      <c r="D3" t="s">
        <v>42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</row>
    <row r="5" spans="1:9" x14ac:dyDescent="0.2">
      <c r="A5" t="s">
        <v>43</v>
      </c>
      <c r="B5" s="20">
        <f>Historicals!B5</f>
        <v>6159.2910000000002</v>
      </c>
      <c r="C5" s="20">
        <f>Historicals!C5</f>
        <v>5933.45</v>
      </c>
      <c r="D5" s="20">
        <f>Historicals!D5</f>
        <v>6053.4139999999998</v>
      </c>
      <c r="E5" s="20">
        <f>D5*(1+Assumptions!B8)</f>
        <v>6295.5505599999997</v>
      </c>
      <c r="F5" s="20">
        <f>E5*(1+Assumptions!C8)</f>
        <v>6610.3280880000002</v>
      </c>
      <c r="G5" s="20">
        <f>F5*(1+Assumptions!D8)</f>
        <v>6907.79285196</v>
      </c>
      <c r="H5" s="20">
        <f>G5*(1+Assumptions!E8)</f>
        <v>7218.6435302981999</v>
      </c>
      <c r="I5" s="20">
        <f>H5*(1+Assumptions!F8)</f>
        <v>7507.3892715101283</v>
      </c>
    </row>
    <row r="6" spans="1:9" x14ac:dyDescent="0.2">
      <c r="A6" t="s">
        <v>122</v>
      </c>
      <c r="C6" s="18">
        <f>C5/B5-1</f>
        <v>-3.6666720244261986E-2</v>
      </c>
      <c r="D6" s="18">
        <f>D5/C5-1</f>
        <v>2.0218254135452307E-2</v>
      </c>
      <c r="E6" s="13">
        <f>Assumptions!B8</f>
        <v>0.04</v>
      </c>
      <c r="F6" s="13">
        <f>Assumptions!C8</f>
        <v>0.05</v>
      </c>
      <c r="G6" s="13">
        <f>Assumptions!D8</f>
        <v>4.4999999999999998E-2</v>
      </c>
      <c r="H6" s="13">
        <f>Assumptions!E8</f>
        <v>4.4999999999999998E-2</v>
      </c>
      <c r="I6" s="13">
        <f>Assumptions!F8</f>
        <v>0.04</v>
      </c>
    </row>
    <row r="7" spans="1:9" x14ac:dyDescent="0.2">
      <c r="A7" t="s">
        <v>44</v>
      </c>
      <c r="B7" s="20">
        <f>Historicals!B6</f>
        <v>4049.08</v>
      </c>
      <c r="C7" s="20">
        <f>Historicals!C6</f>
        <v>3921.99</v>
      </c>
      <c r="D7" s="20">
        <f>Historicals!D6</f>
        <v>3947.8009999999999</v>
      </c>
      <c r="E7" s="22">
        <f>E5*(1-Assumptions!B9)</f>
        <v>4107.8467404000003</v>
      </c>
      <c r="F7" s="22">
        <f>F5*(1-Assumptions!C9)</f>
        <v>4309.9339133760004</v>
      </c>
      <c r="G7" s="22">
        <f>G5*(1-Assumptions!D9)</f>
        <v>4496.97314662596</v>
      </c>
      <c r="H7" s="22">
        <f>H5*(1-Assumptions!E9)</f>
        <v>4692.1182946938297</v>
      </c>
      <c r="I7" s="22">
        <f>I5*(1-Assumptions!F9)</f>
        <v>4879.8030264815834</v>
      </c>
    </row>
    <row r="8" spans="1:9" x14ac:dyDescent="0.2">
      <c r="A8" t="s">
        <v>147</v>
      </c>
      <c r="B8" s="20">
        <f>Historicals!B7</f>
        <v>2110.2110000000002</v>
      </c>
      <c r="C8" s="20">
        <f>Historicals!C7</f>
        <v>2011.46</v>
      </c>
      <c r="D8" s="20">
        <f>Historicals!D7</f>
        <v>2105.6129999999998</v>
      </c>
      <c r="E8" s="22">
        <f>E5-E7</f>
        <v>2187.7038195999994</v>
      </c>
      <c r="F8" s="22">
        <f t="shared" ref="F8:I8" si="0">F5-F7</f>
        <v>2300.3941746239998</v>
      </c>
      <c r="G8" s="22">
        <f t="shared" si="0"/>
        <v>2410.81970533404</v>
      </c>
      <c r="H8" s="22">
        <f t="shared" si="0"/>
        <v>2526.5252356043702</v>
      </c>
      <c r="I8" s="22">
        <f t="shared" si="0"/>
        <v>2627.5862450285449</v>
      </c>
    </row>
    <row r="9" spans="1:9" x14ac:dyDescent="0.2">
      <c r="A9" t="s">
        <v>123</v>
      </c>
      <c r="B9" s="18">
        <f>B8/B5</f>
        <v>0.3426061538576437</v>
      </c>
      <c r="C9" s="18">
        <f t="shared" ref="C9:D9" si="1">C8/C5</f>
        <v>0.33900344656144404</v>
      </c>
      <c r="D9" s="18">
        <f t="shared" si="1"/>
        <v>0.34783892197031291</v>
      </c>
      <c r="E9" s="13">
        <f>E8/E5</f>
        <v>0.34749999999999992</v>
      </c>
      <c r="F9" s="13">
        <f t="shared" ref="F9:I9" si="2">F8/F5</f>
        <v>0.34799999999999998</v>
      </c>
      <c r="G9" s="13">
        <f t="shared" si="2"/>
        <v>0.34899999999999998</v>
      </c>
      <c r="H9" s="13">
        <f t="shared" si="2"/>
        <v>0.35000000000000003</v>
      </c>
      <c r="I9" s="13">
        <f t="shared" si="2"/>
        <v>0.35</v>
      </c>
    </row>
    <row r="10" spans="1:9" x14ac:dyDescent="0.2">
      <c r="A10" t="s">
        <v>45</v>
      </c>
      <c r="B10" s="20">
        <f>Historicals!B8</f>
        <v>1432.356</v>
      </c>
      <c r="C10" s="20">
        <f>Historicals!C8</f>
        <v>1472.8209999999999</v>
      </c>
      <c r="D10" s="20">
        <f>Historicals!D8</f>
        <v>1593.4290000000001</v>
      </c>
      <c r="E10" s="22">
        <f>E5*Assumptions!B10</f>
        <v>1643.1386961599999</v>
      </c>
      <c r="F10" s="22">
        <f>F5*Assumptions!C10</f>
        <v>1718.6853028800001</v>
      </c>
      <c r="G10" s="22">
        <f>G5*Assumptions!D10</f>
        <v>1789.1183486576401</v>
      </c>
      <c r="H10" s="22">
        <f>H5*Assumptions!E10</f>
        <v>1862.4100308169357</v>
      </c>
      <c r="I10" s="22">
        <f>I5*Assumptions!F10</f>
        <v>1936.9064320496132</v>
      </c>
    </row>
    <row r="11" spans="1:9" x14ac:dyDescent="0.2">
      <c r="A11" t="s">
        <v>124</v>
      </c>
      <c r="B11" s="18">
        <f>B10/B5</f>
        <v>0.23255209081694631</v>
      </c>
      <c r="C11" s="18">
        <f t="shared" ref="C11:D11" si="3">C10/C5</f>
        <v>0.24822337763021513</v>
      </c>
      <c r="D11" s="18">
        <f t="shared" si="3"/>
        <v>0.26322815521951748</v>
      </c>
      <c r="E11" s="13">
        <f>E10/E5</f>
        <v>0.26100000000000001</v>
      </c>
      <c r="F11" s="13">
        <f t="shared" ref="F11:I11" si="4">F10/F5</f>
        <v>0.26</v>
      </c>
      <c r="G11" s="13">
        <f t="shared" si="4"/>
        <v>0.25900000000000001</v>
      </c>
      <c r="H11" s="13">
        <f t="shared" si="4"/>
        <v>0.25800000000000001</v>
      </c>
      <c r="I11" s="13">
        <f t="shared" si="4"/>
        <v>0.25800000000000001</v>
      </c>
    </row>
    <row r="12" spans="1:9" x14ac:dyDescent="0.2">
      <c r="A12" t="s">
        <v>46</v>
      </c>
      <c r="B12" s="20">
        <f>Historicals!B9</f>
        <v>677.85500000000025</v>
      </c>
      <c r="C12" s="20">
        <f>Historicals!C9</f>
        <v>538.63900000000012</v>
      </c>
      <c r="D12" s="20">
        <f>Historicals!D9</f>
        <v>512.18399999999974</v>
      </c>
      <c r="E12" s="22">
        <f>E8-E10</f>
        <v>544.56512343999952</v>
      </c>
      <c r="F12" s="22">
        <f t="shared" ref="F12:I12" si="5">F8-F10</f>
        <v>581.70887174399968</v>
      </c>
      <c r="G12" s="22">
        <f t="shared" si="5"/>
        <v>621.70135667639988</v>
      </c>
      <c r="H12" s="22">
        <f t="shared" si="5"/>
        <v>664.11520478743455</v>
      </c>
      <c r="I12" s="22">
        <f t="shared" si="5"/>
        <v>690.67981297893175</v>
      </c>
    </row>
    <row r="13" spans="1:9" x14ac:dyDescent="0.2">
      <c r="A13" t="s">
        <v>148</v>
      </c>
      <c r="B13" s="18">
        <f>B12/B5</f>
        <v>0.11005406304069741</v>
      </c>
      <c r="C13" s="18">
        <f t="shared" ref="C13:D13" si="6">C12/C5</f>
        <v>9.0780068931228905E-2</v>
      </c>
      <c r="D13" s="18">
        <f t="shared" si="6"/>
        <v>8.4610766750795458E-2</v>
      </c>
      <c r="E13" s="13">
        <f>E12/E5</f>
        <v>8.6499999999999924E-2</v>
      </c>
      <c r="F13" s="13">
        <f t="shared" ref="F13:I13" si="7">F12/F5</f>
        <v>8.7999999999999953E-2</v>
      </c>
      <c r="G13" s="13">
        <f t="shared" si="7"/>
        <v>8.9999999999999983E-2</v>
      </c>
      <c r="H13" s="13">
        <f t="shared" si="7"/>
        <v>9.2000000000000026E-2</v>
      </c>
      <c r="I13" s="13">
        <f t="shared" si="7"/>
        <v>9.1999999999999998E-2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425B-9EF5-3343-86C2-7D022D04ADF9}">
  <dimension ref="A1:J87"/>
  <sheetViews>
    <sheetView workbookViewId="0">
      <selection activeCell="J90" sqref="J90"/>
    </sheetView>
  </sheetViews>
  <sheetFormatPr baseColWidth="10" defaultRowHeight="16" x14ac:dyDescent="0.2"/>
  <cols>
    <col min="1" max="1" width="36.5" customWidth="1"/>
    <col min="2" max="9" width="11.5" bestFit="1" customWidth="1"/>
  </cols>
  <sheetData>
    <row r="1" spans="1:9" x14ac:dyDescent="0.2">
      <c r="A1" t="s">
        <v>149</v>
      </c>
    </row>
    <row r="3" spans="1:9" x14ac:dyDescent="0.2">
      <c r="B3" t="s">
        <v>40</v>
      </c>
      <c r="C3" t="s">
        <v>41</v>
      </c>
      <c r="D3" t="s">
        <v>42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</row>
    <row r="5" spans="1:9" x14ac:dyDescent="0.2">
      <c r="A5" t="s">
        <v>39</v>
      </c>
    </row>
    <row r="6" spans="1:9" x14ac:dyDescent="0.2">
      <c r="A6" t="s">
        <v>43</v>
      </c>
      <c r="B6" s="20">
        <f>Historicals!B5</f>
        <v>6159.2910000000002</v>
      </c>
      <c r="C6" s="20">
        <f>Historicals!C5</f>
        <v>5933.45</v>
      </c>
      <c r="D6" s="20">
        <f>Historicals!D5</f>
        <v>6053.4139999999998</v>
      </c>
      <c r="E6" s="20">
        <f>'Operating Model'!E5</f>
        <v>6295.5505599999997</v>
      </c>
      <c r="F6" s="20">
        <f>'Operating Model'!F5</f>
        <v>6610.3280880000002</v>
      </c>
      <c r="G6" s="20">
        <f>'Operating Model'!G5</f>
        <v>6907.79285196</v>
      </c>
      <c r="H6" s="20">
        <f>'Operating Model'!H5</f>
        <v>7218.6435302981999</v>
      </c>
      <c r="I6" s="20">
        <f>'Operating Model'!I5</f>
        <v>7507.3892715101283</v>
      </c>
    </row>
    <row r="7" spans="1:9" x14ac:dyDescent="0.2">
      <c r="A7" t="s">
        <v>44</v>
      </c>
      <c r="B7" s="20">
        <f>Historicals!B6</f>
        <v>4049.08</v>
      </c>
      <c r="C7" s="20">
        <f>Historicals!C6</f>
        <v>3921.99</v>
      </c>
      <c r="D7" s="20">
        <f>Historicals!D6</f>
        <v>3947.8009999999999</v>
      </c>
      <c r="E7" s="20">
        <f>'Operating Model'!E7</f>
        <v>4107.8467404000003</v>
      </c>
      <c r="F7" s="20">
        <f>'Operating Model'!F7</f>
        <v>4309.9339133760004</v>
      </c>
      <c r="G7" s="20">
        <f>'Operating Model'!G7</f>
        <v>4496.97314662596</v>
      </c>
      <c r="H7" s="20">
        <f>'Operating Model'!H7</f>
        <v>4692.1182946938297</v>
      </c>
      <c r="I7" s="20">
        <f>'Operating Model'!I7</f>
        <v>4879.8030264815834</v>
      </c>
    </row>
    <row r="8" spans="1:9" x14ac:dyDescent="0.2">
      <c r="A8" t="s">
        <v>147</v>
      </c>
      <c r="B8" s="20">
        <f>Historicals!B7</f>
        <v>2110.2110000000002</v>
      </c>
      <c r="C8" s="20">
        <f>Historicals!C7</f>
        <v>2011.46</v>
      </c>
      <c r="D8" s="20">
        <f>Historicals!D7</f>
        <v>2105.6129999999998</v>
      </c>
      <c r="E8" s="20">
        <f>'Operating Model'!E8</f>
        <v>2187.7038195999994</v>
      </c>
      <c r="F8" s="20">
        <f>'Operating Model'!F8</f>
        <v>2300.3941746239998</v>
      </c>
      <c r="G8" s="20">
        <f>'Operating Model'!G8</f>
        <v>2410.81970533404</v>
      </c>
      <c r="H8" s="20">
        <f>'Operating Model'!H8</f>
        <v>2526.5252356043702</v>
      </c>
      <c r="I8" s="20">
        <f>'Operating Model'!I8</f>
        <v>2627.5862450285449</v>
      </c>
    </row>
    <row r="9" spans="1:9" x14ac:dyDescent="0.2">
      <c r="A9" t="s">
        <v>45</v>
      </c>
      <c r="B9" s="20">
        <f>Historicals!B8</f>
        <v>1432.356</v>
      </c>
      <c r="C9" s="20">
        <f>Historicals!C8</f>
        <v>1472.8209999999999</v>
      </c>
      <c r="D9" s="20">
        <f>Historicals!D8</f>
        <v>1593.4290000000001</v>
      </c>
      <c r="E9" s="20">
        <f>'Operating Model'!E10</f>
        <v>1643.1386961599999</v>
      </c>
      <c r="F9" s="20">
        <f>'Operating Model'!F10</f>
        <v>1718.6853028800001</v>
      </c>
      <c r="G9" s="20">
        <f>'Operating Model'!G10</f>
        <v>1789.1183486576401</v>
      </c>
      <c r="H9" s="20">
        <f>'Operating Model'!H10</f>
        <v>1862.4100308169357</v>
      </c>
      <c r="I9" s="20">
        <f>'Operating Model'!I10</f>
        <v>1936.9064320496132</v>
      </c>
    </row>
    <row r="10" spans="1:9" x14ac:dyDescent="0.2">
      <c r="A10" t="s">
        <v>46</v>
      </c>
      <c r="B10" s="20">
        <f>Historicals!B9</f>
        <v>677.85500000000025</v>
      </c>
      <c r="C10" s="20">
        <f>Historicals!C9</f>
        <v>538.63900000000012</v>
      </c>
      <c r="D10" s="20">
        <f>Historicals!D9</f>
        <v>512.18399999999974</v>
      </c>
      <c r="E10" s="20">
        <f>'Operating Model'!E12</f>
        <v>544.56512343999952</v>
      </c>
      <c r="F10" s="20">
        <f>'Operating Model'!F12</f>
        <v>581.70887174399968</v>
      </c>
      <c r="G10" s="20">
        <f>'Operating Model'!G12</f>
        <v>621.70135667639988</v>
      </c>
      <c r="H10" s="20">
        <f>'Operating Model'!H12</f>
        <v>664.11520478743455</v>
      </c>
      <c r="I10" s="20">
        <f>'Operating Model'!I12</f>
        <v>690.67981297893175</v>
      </c>
    </row>
    <row r="11" spans="1:9" x14ac:dyDescent="0.2">
      <c r="A11" t="s">
        <v>47</v>
      </c>
      <c r="B11" s="20">
        <f>Historicals!B10</f>
        <v>46.051000000000002</v>
      </c>
      <c r="C11" s="20">
        <f>Historicals!C10</f>
        <v>36.872999999999998</v>
      </c>
      <c r="D11" s="20">
        <f>Historicals!D10</f>
        <v>36.213999999999999</v>
      </c>
      <c r="E11" s="20">
        <f>AVERAGE(D44+D41,E44+E41)*($D$11/AVERAGE($C$44+$C$41,$D$44+$D$41))</f>
        <v>36.031486627772644</v>
      </c>
      <c r="F11" s="20">
        <f t="shared" ref="F11:I11" si="0">AVERAGE(E44+E41,F44+F41)*($D$11/AVERAGE($C$44+$C$41,$D$44+$D$41))</f>
        <v>35.807360505512278</v>
      </c>
      <c r="G11" s="20">
        <f t="shared" si="0"/>
        <v>35.583234383251913</v>
      </c>
      <c r="H11" s="20">
        <f t="shared" si="0"/>
        <v>35.359108260991547</v>
      </c>
      <c r="I11" s="20">
        <f t="shared" si="0"/>
        <v>35.134982138731182</v>
      </c>
    </row>
    <row r="12" spans="1:9" x14ac:dyDescent="0.2">
      <c r="A12" t="s">
        <v>48</v>
      </c>
      <c r="B12" s="20">
        <f>Historicals!B11</f>
        <v>1.5249999999999999</v>
      </c>
      <c r="C12" s="20">
        <f>Historicals!C11</f>
        <v>0.44900000000000001</v>
      </c>
      <c r="D12" s="20">
        <f>Historicals!D11</f>
        <v>0</v>
      </c>
      <c r="E12" s="31">
        <f>D12</f>
        <v>0</v>
      </c>
      <c r="F12" s="31">
        <f t="shared" ref="F12:I12" si="1">E12</f>
        <v>0</v>
      </c>
      <c r="G12" s="31">
        <f t="shared" si="1"/>
        <v>0</v>
      </c>
      <c r="H12" s="31">
        <f t="shared" si="1"/>
        <v>0</v>
      </c>
      <c r="I12" s="31">
        <f t="shared" si="1"/>
        <v>0</v>
      </c>
    </row>
    <row r="13" spans="1:9" x14ac:dyDescent="0.2">
      <c r="A13" t="s">
        <v>49</v>
      </c>
      <c r="B13" s="20">
        <f>Historicals!B12</f>
        <v>32.877000000000002</v>
      </c>
      <c r="C13" s="20">
        <f>Historicals!C12</f>
        <v>36.908000000000001</v>
      </c>
      <c r="D13" s="20">
        <f>Historicals!D12</f>
        <v>10.087</v>
      </c>
      <c r="E13" s="20">
        <f>E$6*($D$13/$D$6)</f>
        <v>10.49048</v>
      </c>
      <c r="F13" s="20">
        <f t="shared" ref="F13:I13" si="2">F$6*($D$13/$D$6)</f>
        <v>11.015004000000001</v>
      </c>
      <c r="G13" s="20">
        <f t="shared" si="2"/>
        <v>11.51067918</v>
      </c>
      <c r="H13" s="20">
        <f t="shared" si="2"/>
        <v>12.0286597431</v>
      </c>
      <c r="I13" s="20">
        <f t="shared" si="2"/>
        <v>12.509806132824002</v>
      </c>
    </row>
    <row r="14" spans="1:9" x14ac:dyDescent="0.2">
      <c r="A14" t="s">
        <v>50</v>
      </c>
      <c r="B14" s="20">
        <f>Historicals!B13</f>
        <v>663.15600000000018</v>
      </c>
      <c r="C14" s="20">
        <f>Historicals!C13</f>
        <v>538.22500000000014</v>
      </c>
      <c r="D14" s="20">
        <f>Historicals!D13</f>
        <v>486.05699999999973</v>
      </c>
      <c r="E14" s="20">
        <f>E10-E11-E12+E13</f>
        <v>519.02411681222691</v>
      </c>
      <c r="F14" s="20">
        <f t="shared" ref="F14:I14" si="3">F10-F11-F12+F13</f>
        <v>556.91651523848736</v>
      </c>
      <c r="G14" s="20">
        <f t="shared" si="3"/>
        <v>597.62880147314797</v>
      </c>
      <c r="H14" s="20">
        <f t="shared" si="3"/>
        <v>640.78475626954298</v>
      </c>
      <c r="I14" s="20">
        <f t="shared" si="3"/>
        <v>668.05463697302457</v>
      </c>
    </row>
    <row r="15" spans="1:9" x14ac:dyDescent="0.2">
      <c r="A15" t="s">
        <v>51</v>
      </c>
      <c r="B15" s="20">
        <f>Historicals!B14</f>
        <v>143.96600000000001</v>
      </c>
      <c r="C15" s="20">
        <f>Historicals!C14</f>
        <v>119.77800000000001</v>
      </c>
      <c r="D15" s="20">
        <f>Historicals!D14</f>
        <v>109.289</v>
      </c>
      <c r="E15" s="20">
        <f>E14*Assumptions!B11</f>
        <v>116.78042628275105</v>
      </c>
      <c r="F15" s="20">
        <f>F14*Assumptions!C11</f>
        <v>125.30621592865965</v>
      </c>
      <c r="G15" s="20">
        <f>G14*Assumptions!D11</f>
        <v>134.46648033145829</v>
      </c>
      <c r="H15" s="20">
        <f>H14*Assumptions!E11</f>
        <v>144.17657016064717</v>
      </c>
      <c r="I15" s="20">
        <f>I14*Assumptions!F11</f>
        <v>150.31229331893053</v>
      </c>
    </row>
    <row r="16" spans="1:9" x14ac:dyDescent="0.2">
      <c r="A16" t="s">
        <v>52</v>
      </c>
      <c r="B16" s="20">
        <f>Historicals!B15</f>
        <v>519.19000000000017</v>
      </c>
      <c r="C16" s="20">
        <f>Historicals!C15</f>
        <v>418.44700000000012</v>
      </c>
      <c r="D16" s="20">
        <f>Historicals!D15</f>
        <v>376.76799999999974</v>
      </c>
      <c r="E16" s="20">
        <f>E14-E15</f>
        <v>402.24369052947588</v>
      </c>
      <c r="F16" s="20">
        <f t="shared" ref="F16:I16" si="4">F14-F15</f>
        <v>431.61029930982772</v>
      </c>
      <c r="G16" s="20">
        <f t="shared" si="4"/>
        <v>463.16232114168969</v>
      </c>
      <c r="H16" s="20">
        <f t="shared" si="4"/>
        <v>496.60818610889578</v>
      </c>
      <c r="I16" s="20">
        <f t="shared" si="4"/>
        <v>517.74234365409404</v>
      </c>
    </row>
    <row r="17" spans="1:9" x14ac:dyDescent="0.2">
      <c r="E17" s="20"/>
    </row>
    <row r="19" spans="1:9" x14ac:dyDescent="0.2">
      <c r="A19" t="s">
        <v>60</v>
      </c>
    </row>
    <row r="20" spans="1:9" x14ac:dyDescent="0.2">
      <c r="B20" t="s">
        <v>40</v>
      </c>
      <c r="C20" t="s">
        <v>41</v>
      </c>
      <c r="D20" t="s">
        <v>42</v>
      </c>
      <c r="E20" t="s">
        <v>116</v>
      </c>
      <c r="F20" t="s">
        <v>117</v>
      </c>
      <c r="G20" t="s">
        <v>118</v>
      </c>
      <c r="H20" t="s">
        <v>119</v>
      </c>
      <c r="I20" t="s">
        <v>120</v>
      </c>
    </row>
    <row r="21" spans="1:9" x14ac:dyDescent="0.2">
      <c r="A21" t="s">
        <v>61</v>
      </c>
      <c r="B21" s="20">
        <f>Historicals!B23</f>
        <v>347.92</v>
      </c>
      <c r="C21" s="20">
        <f>Historicals!C23</f>
        <v>288.92899999999997</v>
      </c>
      <c r="D21" s="20">
        <f>Historicals!D23</f>
        <v>330.32</v>
      </c>
      <c r="E21" s="31">
        <f>E86</f>
        <v>484.43334057530598</v>
      </c>
      <c r="F21" s="31">
        <f t="shared" ref="F21:I21" si="5">F86</f>
        <v>673.87294447233955</v>
      </c>
      <c r="G21" s="31">
        <f t="shared" si="5"/>
        <v>900.09807650192795</v>
      </c>
      <c r="H21" s="31">
        <f t="shared" si="5"/>
        <v>1162.0666177085529</v>
      </c>
      <c r="I21" s="31">
        <f t="shared" si="5"/>
        <v>1414.1186087238088</v>
      </c>
    </row>
    <row r="22" spans="1:9" x14ac:dyDescent="0.2">
      <c r="A22" t="s">
        <v>62</v>
      </c>
      <c r="B22" s="20">
        <f>Historicals!B24</f>
        <v>19.370999999999999</v>
      </c>
      <c r="C22" s="20">
        <f>Historicals!C24</f>
        <v>16.759</v>
      </c>
      <c r="D22" s="20">
        <f>Historicals!D24</f>
        <v>34.755000000000003</v>
      </c>
      <c r="E22" s="20">
        <f>E$6*Assumptions!B15</f>
        <v>25.182202239999999</v>
      </c>
      <c r="F22" s="20">
        <f>F$6*Assumptions!C15</f>
        <v>26.441312352000001</v>
      </c>
      <c r="G22" s="20">
        <f>G$6*Assumptions!D15</f>
        <v>27.63117140784</v>
      </c>
      <c r="H22" s="20">
        <f>H$6*Assumptions!E15</f>
        <v>28.874574121192801</v>
      </c>
      <c r="I22" s="20">
        <f>I$6*Assumptions!F15</f>
        <v>30.029557086040512</v>
      </c>
    </row>
    <row r="23" spans="1:9" x14ac:dyDescent="0.2">
      <c r="A23" t="s">
        <v>63</v>
      </c>
      <c r="B23" s="20">
        <f>Historicals!B25</f>
        <v>1194.1590000000001</v>
      </c>
      <c r="C23" s="20">
        <f>Historicals!C25</f>
        <v>1308.8399999999999</v>
      </c>
      <c r="D23" s="20">
        <f>Historicals!D25</f>
        <v>1503.7560000000001</v>
      </c>
      <c r="E23" s="20">
        <f>E$6*Assumptions!B16</f>
        <v>1542.4098872</v>
      </c>
      <c r="F23" s="20">
        <f>F$6*Assumptions!C16</f>
        <v>1586.47874112</v>
      </c>
      <c r="G23" s="20">
        <f>G$6*Assumptions!D16</f>
        <v>1623.3313202105999</v>
      </c>
      <c r="H23" s="20">
        <f>H$6*Assumptions!E16</f>
        <v>1660.288011968586</v>
      </c>
      <c r="I23" s="20">
        <f>I$6*Assumptions!F16</f>
        <v>1726.6995324473296</v>
      </c>
    </row>
    <row r="24" spans="1:9" x14ac:dyDescent="0.2">
      <c r="A24" t="s">
        <v>64</v>
      </c>
      <c r="B24" s="20">
        <f>Historicals!B26</f>
        <v>83.45</v>
      </c>
      <c r="C24" s="20">
        <f>Historicals!C26</f>
        <v>95.620999999999995</v>
      </c>
      <c r="D24" s="20">
        <f>Historicals!D26</f>
        <v>82.456999999999994</v>
      </c>
      <c r="E24" s="20">
        <f>E$6*Assumptions!B17</f>
        <v>94.433258399999985</v>
      </c>
      <c r="F24" s="20">
        <f>F$6*Assumptions!C17</f>
        <v>99.15492132</v>
      </c>
      <c r="G24" s="20">
        <f>G$6*Assumptions!D17</f>
        <v>103.61689277939999</v>
      </c>
      <c r="H24" s="20">
        <f>H$6*Assumptions!E17</f>
        <v>108.27965295447299</v>
      </c>
      <c r="I24" s="20">
        <f>I$6*Assumptions!F17</f>
        <v>112.61083907265193</v>
      </c>
    </row>
    <row r="25" spans="1:9" x14ac:dyDescent="0.2">
      <c r="A25" t="s">
        <v>65</v>
      </c>
      <c r="B25" s="20">
        <f>Historicals!B27</f>
        <v>0</v>
      </c>
      <c r="C25" s="20">
        <f>Historicals!C27</f>
        <v>0</v>
      </c>
      <c r="D25" s="20">
        <f>Historicals!D27</f>
        <v>2.9569999999999999</v>
      </c>
      <c r="E25" s="22">
        <f>Assumptions!B24</f>
        <v>0</v>
      </c>
      <c r="F25" s="22">
        <f>Assumptions!C24</f>
        <v>0</v>
      </c>
      <c r="G25" s="22">
        <f>Assumptions!D24</f>
        <v>0</v>
      </c>
      <c r="H25" s="22">
        <f>Assumptions!E24</f>
        <v>0</v>
      </c>
      <c r="I25" s="22">
        <f>Assumptions!F24</f>
        <v>0</v>
      </c>
    </row>
    <row r="26" spans="1:9" x14ac:dyDescent="0.2">
      <c r="A26" t="s">
        <v>66</v>
      </c>
      <c r="B26" s="20">
        <f>Historicals!B28</f>
        <v>1644.9</v>
      </c>
      <c r="C26" s="20">
        <f>Historicals!C28</f>
        <v>1710.1489999999999</v>
      </c>
      <c r="D26" s="20">
        <f>Historicals!D28</f>
        <v>1954.2450000000001</v>
      </c>
      <c r="E26" s="31">
        <f>SUM(E21:E25)</f>
        <v>2146.4586884153059</v>
      </c>
      <c r="F26" s="31">
        <f t="shared" ref="F26:I26" si="6">SUM(F21:F25)</f>
        <v>2385.9479192643398</v>
      </c>
      <c r="G26" s="31">
        <f t="shared" si="6"/>
        <v>2654.677460899768</v>
      </c>
      <c r="H26" s="31">
        <f t="shared" si="6"/>
        <v>2959.5088567528046</v>
      </c>
      <c r="I26" s="31">
        <f t="shared" si="6"/>
        <v>3283.458537329831</v>
      </c>
    </row>
    <row r="27" spans="1:9" x14ac:dyDescent="0.2">
      <c r="B27" s="20"/>
      <c r="C27" s="20"/>
      <c r="D27" s="20"/>
    </row>
    <row r="28" spans="1:9" x14ac:dyDescent="0.2">
      <c r="A28" t="s">
        <v>67</v>
      </c>
      <c r="B28" s="20">
        <f>Historicals!B30</f>
        <v>445.209</v>
      </c>
      <c r="C28" s="20">
        <f>Historicals!C30</f>
        <v>525.13599999999997</v>
      </c>
      <c r="D28" s="20">
        <f>Historicals!D30</f>
        <v>584.10299999999995</v>
      </c>
      <c r="E28" s="20">
        <f>D28+(E$6*Assumptions!B20)-(D28*Assumptions!B21)</f>
        <v>658.42151960000001</v>
      </c>
      <c r="F28" s="20">
        <f>E28+(F$6*Assumptions!C20)-(E28*Assumptions!C21)</f>
        <v>725.17762277999998</v>
      </c>
      <c r="G28" s="20">
        <f>F28+(G$6*Assumptions!D20)-(F28*Assumptions!D21)</f>
        <v>785.65596690359996</v>
      </c>
      <c r="H28" s="20">
        <f>G28+(H$6*Assumptions!E20)-(G28*Assumptions!E21)</f>
        <v>841.89449873813703</v>
      </c>
      <c r="I28" s="20">
        <f>H28+(I$6*Assumptions!F20)-(H28*Assumptions!F21)</f>
        <v>894.17949855645736</v>
      </c>
    </row>
    <row r="29" spans="1:9" x14ac:dyDescent="0.2">
      <c r="A29" t="s">
        <v>68</v>
      </c>
      <c r="B29" s="20">
        <f>Historicals!B31</f>
        <v>1111.2370000000001</v>
      </c>
      <c r="C29" s="20">
        <f>Historicals!C31</f>
        <v>1173.075</v>
      </c>
      <c r="D29" s="20">
        <f>Historicals!D31</f>
        <v>1234.2460000000001</v>
      </c>
      <c r="E29" s="20">
        <f>E$6*Assumptions!B25</f>
        <v>1290.5878647999998</v>
      </c>
      <c r="F29" s="20">
        <f>F$6*Assumptions!C25</f>
        <v>1355.11725804</v>
      </c>
      <c r="G29" s="20">
        <f>G$6*Assumptions!D25</f>
        <v>1416.0975346517998</v>
      </c>
      <c r="H29" s="20">
        <f>H$6*Assumptions!E25</f>
        <v>1479.8219237111309</v>
      </c>
      <c r="I29" s="20">
        <f>I$6*Assumptions!F25</f>
        <v>1539.0148006595762</v>
      </c>
    </row>
    <row r="30" spans="1:9" x14ac:dyDescent="0.2">
      <c r="A30" t="s">
        <v>69</v>
      </c>
      <c r="B30" s="20">
        <f>Historicals!B32</f>
        <v>578.23599999999999</v>
      </c>
      <c r="C30" s="20">
        <f>Historicals!C32</f>
        <v>579.00699999999995</v>
      </c>
      <c r="D30" s="20">
        <f>Historicals!D32</f>
        <v>579.76599999999996</v>
      </c>
      <c r="E30" s="20">
        <f>D30-E70</f>
        <v>580.52499999999998</v>
      </c>
      <c r="F30" s="20">
        <f t="shared" ref="F30:I30" si="7">E30-F70</f>
        <v>581.28399999999999</v>
      </c>
      <c r="G30" s="20">
        <f t="shared" si="7"/>
        <v>582.04300000000001</v>
      </c>
      <c r="H30" s="20">
        <f t="shared" si="7"/>
        <v>582.80200000000002</v>
      </c>
      <c r="I30" s="20">
        <f t="shared" si="7"/>
        <v>583.56100000000004</v>
      </c>
    </row>
    <row r="31" spans="1:9" x14ac:dyDescent="0.2">
      <c r="A31" t="s">
        <v>70</v>
      </c>
      <c r="B31" s="20">
        <f>Historicals!B33</f>
        <v>861.92</v>
      </c>
      <c r="C31" s="20">
        <f>Historicals!C33</f>
        <v>861.92</v>
      </c>
      <c r="D31" s="20">
        <f>Historicals!D33</f>
        <v>861.92</v>
      </c>
      <c r="E31" s="20">
        <f>D31</f>
        <v>861.92</v>
      </c>
      <c r="F31" s="20">
        <f t="shared" ref="F31:I31" si="8">E31</f>
        <v>861.92</v>
      </c>
      <c r="G31" s="20">
        <f t="shared" si="8"/>
        <v>861.92</v>
      </c>
      <c r="H31" s="20">
        <f t="shared" si="8"/>
        <v>861.92</v>
      </c>
      <c r="I31" s="20">
        <f t="shared" si="8"/>
        <v>861.92</v>
      </c>
    </row>
    <row r="32" spans="1:9" x14ac:dyDescent="0.2">
      <c r="A32" t="s">
        <v>71</v>
      </c>
      <c r="B32" s="20">
        <f>Historicals!B34</f>
        <v>35.210999999999999</v>
      </c>
      <c r="C32" s="20">
        <f>Historicals!C34</f>
        <v>51.676000000000002</v>
      </c>
      <c r="D32" s="20">
        <f>Historicals!D34</f>
        <v>62.756</v>
      </c>
      <c r="E32" s="20">
        <f>E$6*Assumptions!B26</f>
        <v>62.955505599999995</v>
      </c>
      <c r="F32" s="20">
        <f>F$6*Assumptions!C26</f>
        <v>66.10328088</v>
      </c>
      <c r="G32" s="20">
        <f>G$6*Assumptions!D26</f>
        <v>69.077928519600007</v>
      </c>
      <c r="H32" s="20">
        <f>H$6*Assumptions!E26</f>
        <v>72.186435302982005</v>
      </c>
      <c r="I32" s="20">
        <f>I$6*Assumptions!F26</f>
        <v>75.07389271510128</v>
      </c>
    </row>
    <row r="33" spans="1:9" x14ac:dyDescent="0.2">
      <c r="A33" t="s">
        <v>72</v>
      </c>
      <c r="B33" s="20">
        <f>Historicals!B35</f>
        <v>4676.7129999999997</v>
      </c>
      <c r="C33" s="20">
        <f>Historicals!C35</f>
        <v>4900.9629999999997</v>
      </c>
      <c r="D33" s="20">
        <f>Historicals!D35</f>
        <v>5277.0360000000001</v>
      </c>
      <c r="E33" s="31">
        <f>E26+SUM(E28:E32)</f>
        <v>5600.8685784153058</v>
      </c>
      <c r="F33" s="31">
        <f t="shared" ref="F33:I33" si="9">F26+SUM(F28:F32)</f>
        <v>5975.5500809643399</v>
      </c>
      <c r="G33" s="31">
        <f t="shared" si="9"/>
        <v>6369.471890974768</v>
      </c>
      <c r="H33" s="31">
        <f t="shared" si="9"/>
        <v>6798.1337145050547</v>
      </c>
      <c r="I33" s="31">
        <f t="shared" si="9"/>
        <v>7237.2077292609665</v>
      </c>
    </row>
    <row r="34" spans="1:9" x14ac:dyDescent="0.2">
      <c r="B34" s="25"/>
      <c r="C34" s="25"/>
      <c r="D34" s="25"/>
    </row>
    <row r="35" spans="1:9" x14ac:dyDescent="0.2">
      <c r="B35" s="25"/>
      <c r="C35" s="25"/>
      <c r="D35" s="25"/>
    </row>
    <row r="36" spans="1:9" x14ac:dyDescent="0.2">
      <c r="A36" t="s">
        <v>73</v>
      </c>
      <c r="B36" s="25"/>
      <c r="C36" s="25"/>
      <c r="D36" s="25"/>
    </row>
    <row r="37" spans="1:9" x14ac:dyDescent="0.2">
      <c r="B37" s="25"/>
      <c r="C37" s="25"/>
      <c r="D37" s="25"/>
    </row>
    <row r="38" spans="1:9" x14ac:dyDescent="0.2">
      <c r="A38" t="s">
        <v>74</v>
      </c>
      <c r="B38" s="20">
        <f>Historicals!B40</f>
        <v>541.077</v>
      </c>
      <c r="C38" s="20">
        <f>Historicals!C40</f>
        <v>612.42399999999998</v>
      </c>
      <c r="D38" s="20">
        <f>Historicals!D40</f>
        <v>637.85400000000004</v>
      </c>
      <c r="E38" s="20">
        <f>E$7*Assumptions!B18</f>
        <v>657.25547846400002</v>
      </c>
      <c r="F38" s="20">
        <f>F$7*Assumptions!C18</f>
        <v>689.58942614016007</v>
      </c>
      <c r="G38" s="20">
        <f>G$7*Assumptions!D18</f>
        <v>719.51570346015365</v>
      </c>
      <c r="H38" s="20">
        <f>H$7*Assumptions!E18</f>
        <v>750.73892715101272</v>
      </c>
      <c r="I38" s="20">
        <f>I$7*Assumptions!F18</f>
        <v>780.76848423705337</v>
      </c>
    </row>
    <row r="39" spans="1:9" x14ac:dyDescent="0.2">
      <c r="A39" t="s">
        <v>75</v>
      </c>
      <c r="B39" s="20">
        <f>Historicals!B41</f>
        <v>217.93199999999999</v>
      </c>
      <c r="C39" s="20">
        <f>Historicals!C41</f>
        <v>230.32300000000001</v>
      </c>
      <c r="D39" s="20">
        <f>Historicals!D41</f>
        <v>243.90799999999999</v>
      </c>
      <c r="E39" s="20">
        <f>E$6*Assumptions!B19</f>
        <v>251.82202239999998</v>
      </c>
      <c r="F39" s="20">
        <f>F$6*Assumptions!C19</f>
        <v>264.41312352</v>
      </c>
      <c r="G39" s="20">
        <f>G$6*Assumptions!D19</f>
        <v>276.31171407840003</v>
      </c>
      <c r="H39" s="20">
        <f>H$6*Assumptions!E19</f>
        <v>288.74574121192802</v>
      </c>
      <c r="I39" s="20">
        <f>I$6*Assumptions!F19</f>
        <v>300.29557086040512</v>
      </c>
    </row>
    <row r="40" spans="1:9" x14ac:dyDescent="0.2">
      <c r="A40" t="s">
        <v>76</v>
      </c>
      <c r="B40" s="20">
        <f>Historicals!B42</f>
        <v>117.849</v>
      </c>
      <c r="C40" s="20">
        <f>Historicals!C42</f>
        <v>115.134</v>
      </c>
      <c r="D40" s="20">
        <f>Historicals!D42</f>
        <v>147.49100000000001</v>
      </c>
      <c r="E40" s="20">
        <f>E29*($D40/$D29)</f>
        <v>154.22378907220829</v>
      </c>
      <c r="F40" s="20">
        <f t="shared" ref="F40:I40" si="10">F29*($D40/$D29)</f>
        <v>161.93497852581871</v>
      </c>
      <c r="G40" s="20">
        <f t="shared" si="10"/>
        <v>169.22205255948055</v>
      </c>
      <c r="H40" s="20">
        <f t="shared" si="10"/>
        <v>176.83704492465716</v>
      </c>
      <c r="I40" s="20">
        <f t="shared" si="10"/>
        <v>183.91052672164346</v>
      </c>
    </row>
    <row r="41" spans="1:9" x14ac:dyDescent="0.2">
      <c r="A41" t="s">
        <v>77</v>
      </c>
      <c r="B41" s="20">
        <f>Historicals!B43</f>
        <v>3</v>
      </c>
      <c r="C41" s="20">
        <f>Historicals!C43</f>
        <v>3</v>
      </c>
      <c r="D41" s="20">
        <f>Historicals!D43</f>
        <v>3</v>
      </c>
      <c r="E41" s="20">
        <f>D41</f>
        <v>3</v>
      </c>
      <c r="F41" s="20">
        <f t="shared" ref="F41:I41" si="11">E41</f>
        <v>3</v>
      </c>
      <c r="G41" s="20">
        <f t="shared" si="11"/>
        <v>3</v>
      </c>
      <c r="H41" s="20">
        <f t="shared" si="11"/>
        <v>3</v>
      </c>
      <c r="I41" s="20">
        <f t="shared" si="11"/>
        <v>3</v>
      </c>
    </row>
    <row r="42" spans="1:9" x14ac:dyDescent="0.2">
      <c r="A42" t="s">
        <v>78</v>
      </c>
      <c r="B42" s="20">
        <f>Historicals!B44</f>
        <v>879.85800000000006</v>
      </c>
      <c r="C42" s="20">
        <f>Historicals!C44</f>
        <v>960.88099999999997</v>
      </c>
      <c r="D42" s="20">
        <f>Historicals!D44</f>
        <v>1032.2530000000002</v>
      </c>
      <c r="E42" s="20">
        <f>SUM(E38:E41)</f>
        <v>1066.3012899362084</v>
      </c>
      <c r="F42" s="20">
        <f t="shared" ref="F42:I42" si="12">SUM(F38:F41)</f>
        <v>1118.9375281859789</v>
      </c>
      <c r="G42" s="20">
        <f t="shared" si="12"/>
        <v>1168.0494700980341</v>
      </c>
      <c r="H42" s="20">
        <f t="shared" si="12"/>
        <v>1219.321713287598</v>
      </c>
      <c r="I42" s="20">
        <f t="shared" si="12"/>
        <v>1267.974581819102</v>
      </c>
    </row>
    <row r="43" spans="1:9" x14ac:dyDescent="0.2">
      <c r="B43" s="20"/>
      <c r="C43" s="20"/>
      <c r="D43" s="20"/>
    </row>
    <row r="44" spans="1:9" x14ac:dyDescent="0.2">
      <c r="A44" t="s">
        <v>79</v>
      </c>
      <c r="B44" s="20">
        <f>Historicals!B46</f>
        <v>484.55099999999999</v>
      </c>
      <c r="C44" s="20">
        <f>Historicals!C46</f>
        <v>482.67899999999997</v>
      </c>
      <c r="D44" s="20">
        <f>Historicals!D46</f>
        <v>480.79300000000001</v>
      </c>
      <c r="E44" s="20">
        <f>D44-E41</f>
        <v>477.79300000000001</v>
      </c>
      <c r="F44" s="20">
        <f t="shared" ref="F44:I44" si="13">E44-F41</f>
        <v>474.79300000000001</v>
      </c>
      <c r="G44" s="20">
        <f t="shared" si="13"/>
        <v>471.79300000000001</v>
      </c>
      <c r="H44" s="20">
        <f t="shared" si="13"/>
        <v>468.79300000000001</v>
      </c>
      <c r="I44" s="20">
        <f t="shared" si="13"/>
        <v>465.79300000000001</v>
      </c>
    </row>
    <row r="45" spans="1:9" x14ac:dyDescent="0.2">
      <c r="A45" t="s">
        <v>80</v>
      </c>
      <c r="B45" s="20">
        <f>Historicals!B47</f>
        <v>1091.2940000000001</v>
      </c>
      <c r="C45" s="20">
        <f>Historicals!C47</f>
        <v>1185.741</v>
      </c>
      <c r="D45" s="20">
        <f>Historicals!D47</f>
        <v>1261.1669999999999</v>
      </c>
      <c r="E45" s="20">
        <f>E29*($D45/$D29)</f>
        <v>1318.7377764936821</v>
      </c>
      <c r="F45" s="20">
        <f t="shared" ref="F45:I45" si="14">F29*($D45/$D29)</f>
        <v>1384.6746653183664</v>
      </c>
      <c r="G45" s="20">
        <f t="shared" si="14"/>
        <v>1446.9850252576928</v>
      </c>
      <c r="H45" s="20">
        <f t="shared" si="14"/>
        <v>1512.099351394289</v>
      </c>
      <c r="I45" s="20">
        <f t="shared" si="14"/>
        <v>1572.5833254500606</v>
      </c>
    </row>
    <row r="46" spans="1:9" x14ac:dyDescent="0.2">
      <c r="A46" t="s">
        <v>81</v>
      </c>
      <c r="B46" s="20">
        <f>Historicals!B48</f>
        <v>254.79599999999999</v>
      </c>
      <c r="C46" s="20">
        <f>Historicals!C48</f>
        <v>256.815</v>
      </c>
      <c r="D46" s="20">
        <f>Historicals!D48</f>
        <v>300.654</v>
      </c>
      <c r="E46" s="20">
        <f>E28*($D46/$D28)</f>
        <v>338.90780145593914</v>
      </c>
      <c r="F46" s="20">
        <f t="shared" ref="F46:I46" si="15">F28*($D46/$D28)</f>
        <v>373.26901762069042</v>
      </c>
      <c r="G46" s="20">
        <f t="shared" si="15"/>
        <v>404.39889723804697</v>
      </c>
      <c r="H46" s="20">
        <f t="shared" si="15"/>
        <v>433.34642798207824</v>
      </c>
      <c r="I46" s="20">
        <f t="shared" si="15"/>
        <v>460.2589662422435</v>
      </c>
    </row>
    <row r="47" spans="1:9" x14ac:dyDescent="0.2">
      <c r="A47" t="s">
        <v>82</v>
      </c>
      <c r="B47" s="20">
        <f>Historicals!B49</f>
        <v>11.564</v>
      </c>
      <c r="C47" s="20">
        <f>Historicals!C49</f>
        <v>10.811999999999999</v>
      </c>
      <c r="D47" s="20">
        <f>Historicals!D49</f>
        <v>30.792000000000002</v>
      </c>
      <c r="E47" s="20">
        <f>E$6*($D47/$D$6)</f>
        <v>32.023679999999999</v>
      </c>
      <c r="F47" s="20">
        <f t="shared" ref="F47:I47" si="16">F$6*($D47/$D$6)</f>
        <v>33.624864000000002</v>
      </c>
      <c r="G47" s="20">
        <f t="shared" si="16"/>
        <v>35.137982880000003</v>
      </c>
      <c r="H47" s="20">
        <f t="shared" si="16"/>
        <v>36.719192109600002</v>
      </c>
      <c r="I47" s="20">
        <f t="shared" si="16"/>
        <v>38.187959793984007</v>
      </c>
    </row>
    <row r="48" spans="1:9" x14ac:dyDescent="0.2">
      <c r="A48" t="s">
        <v>83</v>
      </c>
      <c r="B48" s="20">
        <f>Historicals!B50</f>
        <v>2722.0630000000001</v>
      </c>
      <c r="C48" s="20">
        <f>Historicals!C50</f>
        <v>2896.9279999999999</v>
      </c>
      <c r="D48" s="20">
        <f>Historicals!D50</f>
        <v>3105.6590000000001</v>
      </c>
      <c r="E48" s="20">
        <f>SUM(E42,E44:E47)</f>
        <v>3233.7635478858297</v>
      </c>
      <c r="F48" s="20">
        <f t="shared" ref="F48:I48" si="17">SUM(F42,F44:F47)</f>
        <v>3385.2990751250359</v>
      </c>
      <c r="G48" s="20">
        <f t="shared" si="17"/>
        <v>3526.3643754737736</v>
      </c>
      <c r="H48" s="20">
        <f t="shared" si="17"/>
        <v>3670.2796847735654</v>
      </c>
      <c r="I48" s="20">
        <f t="shared" si="17"/>
        <v>3804.7978333053898</v>
      </c>
    </row>
    <row r="49" spans="1:10" x14ac:dyDescent="0.2">
      <c r="B49" s="20"/>
      <c r="C49" s="20"/>
      <c r="D49" s="20"/>
      <c r="E49" s="20"/>
      <c r="F49" s="20"/>
      <c r="G49" s="20"/>
      <c r="H49" s="20"/>
      <c r="I49" s="20"/>
    </row>
    <row r="50" spans="1:10" x14ac:dyDescent="0.2">
      <c r="A50" t="s">
        <v>84</v>
      </c>
      <c r="B50" s="20">
        <f>Historicals!B52</f>
        <v>0.74299999999999999</v>
      </c>
      <c r="C50" s="20">
        <f>Historicals!C52</f>
        <v>0.68300000000000005</v>
      </c>
      <c r="D50" s="20">
        <f>Historicals!D52</f>
        <v>0.64900000000000002</v>
      </c>
      <c r="E50" s="31">
        <f>D50</f>
        <v>0.64900000000000002</v>
      </c>
      <c r="F50" s="31">
        <f t="shared" ref="F50:I50" si="18">E50</f>
        <v>0.64900000000000002</v>
      </c>
      <c r="G50" s="31">
        <f t="shared" si="18"/>
        <v>0.64900000000000002</v>
      </c>
      <c r="H50" s="31">
        <f t="shared" si="18"/>
        <v>0.64900000000000002</v>
      </c>
      <c r="I50" s="31">
        <f t="shared" si="18"/>
        <v>0.64900000000000002</v>
      </c>
    </row>
    <row r="51" spans="1:10" x14ac:dyDescent="0.2">
      <c r="A51" t="s">
        <v>85</v>
      </c>
      <c r="B51" s="20">
        <f>Historicals!B53</f>
        <v>242.09800000000001</v>
      </c>
      <c r="C51" s="20">
        <f>Historicals!C53</f>
        <v>247.09399999999999</v>
      </c>
      <c r="D51" s="20">
        <f>Historicals!D53</f>
        <v>256.351</v>
      </c>
      <c r="E51" s="31">
        <f>D51+E63+E78</f>
        <v>287.95803999999998</v>
      </c>
      <c r="F51" s="31">
        <f t="shared" ref="F51:I51" si="19">E51+F63+F78</f>
        <v>320.66623199999998</v>
      </c>
      <c r="G51" s="31">
        <f t="shared" si="19"/>
        <v>354.41501263999999</v>
      </c>
      <c r="H51" s="31">
        <f t="shared" si="19"/>
        <v>389.25120840879998</v>
      </c>
      <c r="I51" s="31">
        <f t="shared" si="19"/>
        <v>425.09749200835199</v>
      </c>
    </row>
    <row r="52" spans="1:10" x14ac:dyDescent="0.2">
      <c r="A52" t="s">
        <v>86</v>
      </c>
      <c r="B52" s="20">
        <f>Historicals!B54</f>
        <v>1711.809</v>
      </c>
      <c r="C52" s="20">
        <f>Historicals!C54</f>
        <v>1756.258</v>
      </c>
      <c r="D52" s="20">
        <f>Historicals!D54</f>
        <v>1914.377</v>
      </c>
      <c r="E52" s="31">
        <f>D52+E16+E79+E80</f>
        <v>2078.4979905294758</v>
      </c>
      <c r="F52" s="31">
        <f t="shared" ref="F52:I52" si="20">E52+F16+F79+F80</f>
        <v>2268.9357738393032</v>
      </c>
      <c r="G52" s="31">
        <f t="shared" si="20"/>
        <v>2488.0435028609927</v>
      </c>
      <c r="H52" s="31">
        <f t="shared" si="20"/>
        <v>2737.9538213226888</v>
      </c>
      <c r="I52" s="31">
        <f t="shared" si="20"/>
        <v>3006.6634039472228</v>
      </c>
    </row>
    <row r="53" spans="1:10" x14ac:dyDescent="0.2">
      <c r="A53" t="s">
        <v>87</v>
      </c>
      <c r="B53" s="20">
        <f>Historicals!B55</f>
        <v>1954.65</v>
      </c>
      <c r="C53" s="20">
        <f>Historicals!C55</f>
        <v>2004.0350000000001</v>
      </c>
      <c r="D53" s="20">
        <f>Historicals!D55</f>
        <v>2171.377</v>
      </c>
      <c r="E53" s="31">
        <f>SUM(E50:E52)</f>
        <v>2367.1050305294757</v>
      </c>
      <c r="F53" s="31">
        <f t="shared" ref="F53:I53" si="21">SUM(F50:F52)</f>
        <v>2590.2510058393032</v>
      </c>
      <c r="G53" s="31">
        <f t="shared" si="21"/>
        <v>2843.1075155009926</v>
      </c>
      <c r="H53" s="31">
        <f t="shared" si="21"/>
        <v>3127.8540297314889</v>
      </c>
      <c r="I53" s="31">
        <f t="shared" si="21"/>
        <v>3432.4098959555749</v>
      </c>
    </row>
    <row r="54" spans="1:10" x14ac:dyDescent="0.2">
      <c r="A54" t="s">
        <v>88</v>
      </c>
      <c r="B54" s="20">
        <f>Historicals!B56</f>
        <v>4676.7129999999997</v>
      </c>
      <c r="C54" s="20">
        <f>Historicals!C56</f>
        <v>4900.9629999999997</v>
      </c>
      <c r="D54" s="20">
        <f>Historicals!D56</f>
        <v>5277.0360000000001</v>
      </c>
      <c r="E54" s="31">
        <f>E48+E53</f>
        <v>5600.8685784153058</v>
      </c>
      <c r="F54" s="31">
        <f t="shared" ref="F54:I54" si="22">F48+F53</f>
        <v>5975.550080964339</v>
      </c>
      <c r="G54" s="31">
        <f t="shared" si="22"/>
        <v>6369.4718909747662</v>
      </c>
      <c r="H54" s="31">
        <f t="shared" si="22"/>
        <v>6798.1337145050547</v>
      </c>
      <c r="I54" s="31">
        <f t="shared" si="22"/>
        <v>7237.2077292609647</v>
      </c>
    </row>
    <row r="55" spans="1:10" x14ac:dyDescent="0.2">
      <c r="B55" s="20"/>
      <c r="C55" s="20"/>
      <c r="D55" s="20"/>
    </row>
    <row r="56" spans="1:10" x14ac:dyDescent="0.2">
      <c r="A56" t="s">
        <v>89</v>
      </c>
      <c r="B56" s="20">
        <f>Historicals!B58</f>
        <v>0</v>
      </c>
      <c r="C56" s="20">
        <f>Historicals!C58</f>
        <v>0</v>
      </c>
      <c r="D56" s="20">
        <f>Historicals!D58</f>
        <v>0</v>
      </c>
      <c r="E56" s="31">
        <f>E33-E54</f>
        <v>0</v>
      </c>
      <c r="F56" s="31">
        <f t="shared" ref="F56:I56" si="23">F33-F54</f>
        <v>0</v>
      </c>
      <c r="G56" s="31">
        <f t="shared" si="23"/>
        <v>0</v>
      </c>
      <c r="H56" s="31">
        <f t="shared" si="23"/>
        <v>0</v>
      </c>
      <c r="I56" s="31">
        <f t="shared" si="23"/>
        <v>0</v>
      </c>
    </row>
    <row r="58" spans="1:10" x14ac:dyDescent="0.2">
      <c r="A58" s="32" t="s">
        <v>90</v>
      </c>
      <c r="B58" s="32"/>
      <c r="C58" s="32"/>
      <c r="D58" s="32"/>
    </row>
    <row r="59" spans="1:10" x14ac:dyDescent="0.2">
      <c r="A59" s="32"/>
      <c r="B59" t="s">
        <v>40</v>
      </c>
      <c r="C59" t="s">
        <v>41</v>
      </c>
      <c r="D59" t="s">
        <v>42</v>
      </c>
      <c r="E59" t="s">
        <v>116</v>
      </c>
      <c r="F59" t="s">
        <v>117</v>
      </c>
      <c r="G59" t="s">
        <v>118</v>
      </c>
      <c r="H59" t="s">
        <v>119</v>
      </c>
      <c r="I59" t="s">
        <v>120</v>
      </c>
    </row>
    <row r="60" spans="1:10" x14ac:dyDescent="0.2">
      <c r="A60" s="32" t="s">
        <v>52</v>
      </c>
      <c r="B60" s="33">
        <f>Historicals!B62</f>
        <v>519.19000000000017</v>
      </c>
      <c r="C60" s="33">
        <f>Historicals!C62</f>
        <v>418.44700000000012</v>
      </c>
      <c r="D60" s="33">
        <f>Historicals!D62</f>
        <v>376.76799999999974</v>
      </c>
      <c r="E60" s="20">
        <f>E16</f>
        <v>402.24369052947588</v>
      </c>
      <c r="F60" s="20">
        <f t="shared" ref="F60:I60" si="24">F16</f>
        <v>431.61029930982772</v>
      </c>
      <c r="G60" s="20">
        <f t="shared" si="24"/>
        <v>463.16232114168969</v>
      </c>
      <c r="H60" s="20">
        <f t="shared" si="24"/>
        <v>496.60818610889578</v>
      </c>
      <c r="I60" s="20">
        <f t="shared" si="24"/>
        <v>517.74234365409404</v>
      </c>
      <c r="J60" s="20"/>
    </row>
    <row r="61" spans="1:10" x14ac:dyDescent="0.2">
      <c r="A61" s="32" t="s">
        <v>91</v>
      </c>
      <c r="B61" s="33">
        <f>Historicals!B63</f>
        <v>110.93600000000001</v>
      </c>
      <c r="C61" s="33">
        <f>Historicals!C63</f>
        <v>118.07</v>
      </c>
      <c r="D61" s="33">
        <f>Historicals!D63</f>
        <v>122.866</v>
      </c>
      <c r="E61" s="20">
        <f>D28*Assumptions!B21</f>
        <v>146.02574999999999</v>
      </c>
      <c r="F61" s="20">
        <f>E28*Assumptions!C21</f>
        <v>164.6053799</v>
      </c>
      <c r="G61" s="20">
        <f>F28*Assumptions!D21</f>
        <v>181.29440569499999</v>
      </c>
      <c r="H61" s="20">
        <f>G28*Assumptions!E21</f>
        <v>196.41399172589999</v>
      </c>
      <c r="I61" s="20">
        <f>H28*Assumptions!F21</f>
        <v>210.47362468453426</v>
      </c>
      <c r="J61" s="20"/>
    </row>
    <row r="62" spans="1:10" x14ac:dyDescent="0.2">
      <c r="A62" s="32" t="s">
        <v>92</v>
      </c>
      <c r="B62" s="33">
        <f>Historicals!B64</f>
        <v>16.722999999999999</v>
      </c>
      <c r="C62" s="33">
        <f>Historicals!C64</f>
        <v>30.295000000000002</v>
      </c>
      <c r="D62" s="33">
        <f>Historicals!D64</f>
        <v>46.212000000000003</v>
      </c>
      <c r="E62" s="20">
        <f>D29*($D$62/$C$29)</f>
        <v>48.621764296400492</v>
      </c>
      <c r="F62" s="20">
        <f t="shared" ref="F62:I62" si="25">E29*($D$62/$C$29)</f>
        <v>50.841290120527326</v>
      </c>
      <c r="G62" s="20">
        <f t="shared" si="25"/>
        <v>53.383354626553697</v>
      </c>
      <c r="H62" s="20">
        <f t="shared" si="25"/>
        <v>55.785605584748609</v>
      </c>
      <c r="I62" s="20">
        <f t="shared" si="25"/>
        <v>58.2959578360623</v>
      </c>
      <c r="J62" s="20"/>
    </row>
    <row r="63" spans="1:10" x14ac:dyDescent="0.2">
      <c r="A63" s="32" t="s">
        <v>93</v>
      </c>
      <c r="B63" s="33">
        <f>Historicals!B65</f>
        <v>24.376999999999999</v>
      </c>
      <c r="C63" s="33">
        <f>Historicals!C65</f>
        <v>26.629000000000001</v>
      </c>
      <c r="D63" s="33">
        <f>Historicals!D65</f>
        <v>21.175999999999998</v>
      </c>
      <c r="E63" s="20">
        <f>E$6*($D$63/$D$6)</f>
        <v>22.023039999999998</v>
      </c>
      <c r="F63" s="20">
        <f t="shared" ref="F63:I63" si="26">F$6*($D$63/$D$6)</f>
        <v>23.124192000000001</v>
      </c>
      <c r="G63" s="20">
        <f t="shared" si="26"/>
        <v>24.16478064</v>
      </c>
      <c r="H63" s="20">
        <f t="shared" si="26"/>
        <v>25.2521957688</v>
      </c>
      <c r="I63" s="20">
        <f t="shared" si="26"/>
        <v>26.262283599551999</v>
      </c>
      <c r="J63" s="20"/>
    </row>
    <row r="64" spans="1:10" x14ac:dyDescent="0.2">
      <c r="A64" s="32" t="s">
        <v>94</v>
      </c>
      <c r="B64" s="33">
        <f>Historicals!B66</f>
        <v>-4.2469999999999999</v>
      </c>
      <c r="C64" s="33">
        <f>Historicals!C66</f>
        <v>2.02</v>
      </c>
      <c r="D64" s="33">
        <f>Historicals!D66</f>
        <v>43.838999999999999</v>
      </c>
      <c r="E64" s="20">
        <f>E46-D46</f>
        <v>38.25380145593914</v>
      </c>
      <c r="F64" s="20">
        <f t="shared" ref="F64:I64" si="27">F46-E46</f>
        <v>34.361216164751283</v>
      </c>
      <c r="G64" s="20">
        <f t="shared" si="27"/>
        <v>31.129879617356551</v>
      </c>
      <c r="H64" s="20">
        <f t="shared" si="27"/>
        <v>28.947530744031269</v>
      </c>
      <c r="I64" s="20">
        <f t="shared" si="27"/>
        <v>26.912538260165263</v>
      </c>
      <c r="J64" s="20"/>
    </row>
    <row r="65" spans="1:10" x14ac:dyDescent="0.2">
      <c r="A65" s="32" t="s">
        <v>95</v>
      </c>
      <c r="B65" s="33">
        <f>Historicals!B67</f>
        <v>3.8759999999999999</v>
      </c>
      <c r="C65" s="33">
        <f>Historicals!C67</f>
        <v>-4.0389999999999997</v>
      </c>
      <c r="D65" s="33">
        <f>Historicals!D67</f>
        <v>-12.827</v>
      </c>
      <c r="E65" s="33"/>
      <c r="F65" s="33"/>
      <c r="G65" s="33"/>
      <c r="H65" s="33"/>
      <c r="I65" s="33"/>
      <c r="J65" s="20"/>
    </row>
    <row r="66" spans="1:10" x14ac:dyDescent="0.2">
      <c r="A66" s="32" t="s">
        <v>96</v>
      </c>
      <c r="B66" s="33">
        <f>Historicals!B68</f>
        <v>-135.07599999999999</v>
      </c>
      <c r="C66" s="33">
        <f>Historicals!C68</f>
        <v>-63.34</v>
      </c>
      <c r="D66" s="33">
        <f>Historicals!D68</f>
        <v>-163.23599999999999</v>
      </c>
      <c r="E66" s="20">
        <f>(D22-E22)+(D23-E23)+(D24-E24)+(D25-E25)+(D32-E32)+(E38-D38)+(E39-D39)+(E47-D47)+((E40+E45)-(D40+D45))-(E29-D29)-E62</f>
        <v>-50.412736106509598</v>
      </c>
      <c r="F66" s="20">
        <f t="shared" ref="F66:I66" si="28">(E22-F22)+(E23-F23)+(E24-F24)+(E25-F25)+(E32-F32)+(F38-E38)+(F39-E39)+(F47-E47)+((F40+F45)-(E40+E45))-(F29-E29)-F62</f>
        <v>-48.393774518072895</v>
      </c>
      <c r="G66" s="20">
        <f t="shared" si="28"/>
        <v>-46.907267752411528</v>
      </c>
      <c r="H66" s="20">
        <f t="shared" si="28"/>
        <v>-47.513577518113678</v>
      </c>
      <c r="I66" s="20">
        <f t="shared" si="28"/>
        <v>-81.668371486737456</v>
      </c>
      <c r="J66" s="20"/>
    </row>
    <row r="67" spans="1:10" x14ac:dyDescent="0.2">
      <c r="A67" s="32" t="s">
        <v>97</v>
      </c>
      <c r="B67" s="33">
        <f>Historicals!B69</f>
        <v>535.77900000000011</v>
      </c>
      <c r="C67" s="33">
        <f>Historicals!C69</f>
        <v>528.08199999999999</v>
      </c>
      <c r="D67" s="33">
        <f>Historicals!D69</f>
        <v>434.79799999999989</v>
      </c>
      <c r="E67" s="20">
        <f>SUM(E60:E66)</f>
        <v>606.75531017530602</v>
      </c>
      <c r="F67" s="20">
        <f t="shared" ref="F67:I67" si="29">SUM(F60:F66)</f>
        <v>656.14860297703353</v>
      </c>
      <c r="G67" s="20">
        <f t="shared" si="29"/>
        <v>706.22747396818841</v>
      </c>
      <c r="H67" s="20">
        <f t="shared" si="29"/>
        <v>755.49393241426196</v>
      </c>
      <c r="I67" s="20">
        <f t="shared" si="29"/>
        <v>758.01837654767041</v>
      </c>
      <c r="J67" s="20"/>
    </row>
    <row r="68" spans="1:10" x14ac:dyDescent="0.2">
      <c r="A68" s="32"/>
      <c r="B68" s="33">
        <f>Historicals!B70</f>
        <v>0</v>
      </c>
      <c r="C68" s="33">
        <f>Historicals!C70</f>
        <v>0</v>
      </c>
      <c r="D68" s="33">
        <f>Historicals!D70</f>
        <v>0</v>
      </c>
      <c r="E68" s="33"/>
      <c r="F68" s="33"/>
      <c r="G68" s="33"/>
      <c r="H68" s="33"/>
      <c r="I68" s="33"/>
      <c r="J68" s="20"/>
    </row>
    <row r="69" spans="1:10" x14ac:dyDescent="0.2">
      <c r="A69" s="32" t="s">
        <v>98</v>
      </c>
      <c r="B69" s="33">
        <f>Historicals!B71</f>
        <v>-207.77</v>
      </c>
      <c r="C69" s="33">
        <f>Historicals!C71</f>
        <v>-199.589</v>
      </c>
      <c r="D69" s="33">
        <f>Historicals!D71</f>
        <v>-212.66800000000001</v>
      </c>
      <c r="E69" s="33">
        <f>-(E$6*Assumptions!B20)</f>
        <v>-220.34426960000002</v>
      </c>
      <c r="F69" s="33">
        <f>-(F$6*Assumptions!C20)</f>
        <v>-231.36148308000003</v>
      </c>
      <c r="G69" s="33">
        <f>-(G$6*Assumptions!D20)</f>
        <v>-241.77274981860003</v>
      </c>
      <c r="H69" s="33">
        <f>-(H$6*Assumptions!E20)</f>
        <v>-252.65252356043703</v>
      </c>
      <c r="I69" s="33">
        <f>-(I$6*Assumptions!F20)</f>
        <v>-262.7586245028545</v>
      </c>
      <c r="J69" s="20"/>
    </row>
    <row r="70" spans="1:10" x14ac:dyDescent="0.2">
      <c r="A70" s="32" t="s">
        <v>99</v>
      </c>
      <c r="B70" s="33">
        <f>Historicals!B72</f>
        <v>-0.52</v>
      </c>
      <c r="C70" s="33">
        <f>Historicals!C72</f>
        <v>-0.77100000000000002</v>
      </c>
      <c r="D70" s="33">
        <f>Historicals!D72</f>
        <v>-0.75900000000000001</v>
      </c>
      <c r="E70" s="33">
        <f>D70</f>
        <v>-0.75900000000000001</v>
      </c>
      <c r="F70" s="33">
        <f t="shared" ref="F70:I70" si="30">E70</f>
        <v>-0.75900000000000001</v>
      </c>
      <c r="G70" s="33">
        <f t="shared" si="30"/>
        <v>-0.75900000000000001</v>
      </c>
      <c r="H70" s="33">
        <f t="shared" si="30"/>
        <v>-0.75900000000000001</v>
      </c>
      <c r="I70" s="33">
        <f t="shared" si="30"/>
        <v>-0.75900000000000001</v>
      </c>
      <c r="J70" s="20"/>
    </row>
    <row r="71" spans="1:10" x14ac:dyDescent="0.2">
      <c r="A71" s="32" t="s">
        <v>100</v>
      </c>
      <c r="B71" s="33">
        <f>Historicals!B73</f>
        <v>2.1509999999999998</v>
      </c>
      <c r="C71" s="33">
        <f>Historicals!C73</f>
        <v>14.24</v>
      </c>
      <c r="D71" s="33">
        <f>Historicals!D73</f>
        <v>41.39</v>
      </c>
      <c r="E71" s="33"/>
      <c r="F71" s="33"/>
      <c r="G71" s="33"/>
      <c r="H71" s="33"/>
      <c r="I71" s="33"/>
      <c r="J71" s="20"/>
    </row>
    <row r="72" spans="1:10" x14ac:dyDescent="0.2">
      <c r="A72" s="32" t="s">
        <v>101</v>
      </c>
      <c r="B72" s="33">
        <f>Historicals!B74</f>
        <v>-206.13900000000001</v>
      </c>
      <c r="C72" s="33">
        <f>Historicals!C74</f>
        <v>-186.11999999999998</v>
      </c>
      <c r="D72" s="33">
        <f>Historicals!D74</f>
        <v>-172.03699999999998</v>
      </c>
      <c r="E72" s="31">
        <f>SUM(E69:E71)</f>
        <v>-221.1032696</v>
      </c>
      <c r="F72" s="31">
        <f t="shared" ref="F72:I72" si="31">SUM(F69:F71)</f>
        <v>-232.12048308000001</v>
      </c>
      <c r="G72" s="31">
        <f t="shared" si="31"/>
        <v>-242.53174981860002</v>
      </c>
      <c r="H72" s="31">
        <f t="shared" si="31"/>
        <v>-253.41152356043702</v>
      </c>
      <c r="I72" s="31">
        <f t="shared" si="31"/>
        <v>-263.51762450285452</v>
      </c>
      <c r="J72" s="20"/>
    </row>
    <row r="73" spans="1:10" x14ac:dyDescent="0.2">
      <c r="A73" s="32"/>
      <c r="B73" s="33">
        <f>Historicals!B75</f>
        <v>0</v>
      </c>
      <c r="C73" s="33">
        <f>Historicals!C75</f>
        <v>0</v>
      </c>
      <c r="D73" s="33">
        <f>Historicals!D75</f>
        <v>0</v>
      </c>
      <c r="E73" s="33"/>
      <c r="F73" s="33"/>
      <c r="G73" s="33"/>
      <c r="H73" s="33"/>
      <c r="I73" s="33"/>
      <c r="J73" s="20"/>
    </row>
    <row r="74" spans="1:10" x14ac:dyDescent="0.2">
      <c r="A74" s="32" t="s">
        <v>102</v>
      </c>
      <c r="B74" s="33">
        <f>Historicals!B76</f>
        <v>0</v>
      </c>
      <c r="C74" s="33">
        <f>Historicals!C76</f>
        <v>3.9</v>
      </c>
      <c r="D74" s="33">
        <f>Historicals!D76</f>
        <v>0</v>
      </c>
      <c r="E74" s="33"/>
      <c r="F74" s="33"/>
      <c r="G74" s="33"/>
      <c r="H74" s="33"/>
      <c r="I74" s="33"/>
      <c r="J74" s="20"/>
    </row>
    <row r="75" spans="1:10" x14ac:dyDescent="0.2">
      <c r="A75" s="32" t="s">
        <v>103</v>
      </c>
      <c r="B75" s="33">
        <f>Historicals!B77</f>
        <v>0</v>
      </c>
      <c r="C75" s="33">
        <f>Historicals!C77</f>
        <v>-3.9</v>
      </c>
      <c r="D75" s="33">
        <f>Historicals!D77</f>
        <v>0</v>
      </c>
      <c r="E75" s="33"/>
      <c r="F75" s="33"/>
      <c r="G75" s="33"/>
      <c r="H75" s="33"/>
      <c r="I75" s="33"/>
      <c r="J75" s="20"/>
    </row>
    <row r="76" spans="1:10" x14ac:dyDescent="0.2">
      <c r="A76" s="32" t="s">
        <v>104</v>
      </c>
      <c r="B76" s="33">
        <f>Historicals!B78</f>
        <v>-103</v>
      </c>
      <c r="C76" s="33">
        <f>Historicals!C78</f>
        <v>-3</v>
      </c>
      <c r="D76" s="33">
        <f>Historicals!D78</f>
        <v>-3</v>
      </c>
      <c r="E76" s="20">
        <f>-E41</f>
        <v>-3</v>
      </c>
      <c r="F76" s="20">
        <f t="shared" ref="F76:I76" si="32">-F41</f>
        <v>-3</v>
      </c>
      <c r="G76" s="20">
        <f t="shared" si="32"/>
        <v>-3</v>
      </c>
      <c r="H76" s="20">
        <f t="shared" si="32"/>
        <v>-3</v>
      </c>
      <c r="I76" s="20">
        <f t="shared" si="32"/>
        <v>-3</v>
      </c>
      <c r="J76" s="20"/>
    </row>
    <row r="77" spans="1:10" x14ac:dyDescent="0.2">
      <c r="A77" s="32" t="s">
        <v>105</v>
      </c>
      <c r="B77" s="33">
        <f>Historicals!B79</f>
        <v>0</v>
      </c>
      <c r="C77" s="33">
        <f>Historicals!C79</f>
        <v>-5.6890000000000001</v>
      </c>
      <c r="D77" s="33">
        <f>Historicals!D79</f>
        <v>0</v>
      </c>
      <c r="E77" s="33"/>
      <c r="F77" s="33"/>
      <c r="G77" s="33"/>
      <c r="H77" s="33"/>
      <c r="I77" s="33"/>
      <c r="J77" s="20"/>
    </row>
    <row r="78" spans="1:10" x14ac:dyDescent="0.2">
      <c r="A78" s="32" t="s">
        <v>106</v>
      </c>
      <c r="B78" s="33">
        <f>Historicals!B80</f>
        <v>22.12</v>
      </c>
      <c r="C78" s="33">
        <f>Historicals!C80</f>
        <v>9.5709999999999997</v>
      </c>
      <c r="D78" s="33">
        <f>Historicals!D80</f>
        <v>9.5839999999999996</v>
      </c>
      <c r="E78" s="20">
        <f>D78</f>
        <v>9.5839999999999996</v>
      </c>
      <c r="F78" s="20">
        <f t="shared" ref="F78:I78" si="33">E78</f>
        <v>9.5839999999999996</v>
      </c>
      <c r="G78" s="20">
        <f t="shared" si="33"/>
        <v>9.5839999999999996</v>
      </c>
      <c r="H78" s="20">
        <f t="shared" si="33"/>
        <v>9.5839999999999996</v>
      </c>
      <c r="I78" s="20">
        <f t="shared" si="33"/>
        <v>9.5839999999999996</v>
      </c>
      <c r="J78" s="20"/>
    </row>
    <row r="79" spans="1:10" x14ac:dyDescent="0.2">
      <c r="A79" s="32" t="s">
        <v>107</v>
      </c>
      <c r="B79" s="33">
        <f>Historicals!B81</f>
        <v>-202.79599999999999</v>
      </c>
      <c r="C79" s="33">
        <f>Historicals!C81</f>
        <v>-364.91199999999998</v>
      </c>
      <c r="D79" s="33">
        <f>Historicals!D81</f>
        <v>-198.97800000000001</v>
      </c>
      <c r="E79" s="20">
        <f>-Assumptions!B23</f>
        <v>-200</v>
      </c>
      <c r="F79" s="20">
        <f>-Assumptions!C23</f>
        <v>-200</v>
      </c>
      <c r="G79" s="20">
        <f>-Assumptions!D23</f>
        <v>-200</v>
      </c>
      <c r="H79" s="20">
        <f>-Assumptions!E23</f>
        <v>-200</v>
      </c>
      <c r="I79" s="20">
        <f>-Assumptions!F23</f>
        <v>-200</v>
      </c>
      <c r="J79" s="20"/>
    </row>
    <row r="80" spans="1:10" x14ac:dyDescent="0.2">
      <c r="A80" s="32" t="s">
        <v>108</v>
      </c>
      <c r="B80" s="33">
        <f>Historicals!B82</f>
        <v>-27.218</v>
      </c>
      <c r="C80" s="33">
        <f>Historicals!C82</f>
        <v>-31.463000000000001</v>
      </c>
      <c r="D80" s="33">
        <f>Historicals!D82</f>
        <v>-34.656999999999996</v>
      </c>
      <c r="E80" s="20">
        <f>D80*(1+Assumptions!B22)</f>
        <v>-38.122700000000002</v>
      </c>
      <c r="F80" s="20">
        <f>E80*(1+Assumptions!C22)</f>
        <v>-41.172516000000002</v>
      </c>
      <c r="G80" s="20">
        <f>F80*(1+Assumptions!D22)</f>
        <v>-44.054592120000002</v>
      </c>
      <c r="H80" s="20">
        <f>G80*(1+Assumptions!E22)</f>
        <v>-46.697867647200006</v>
      </c>
      <c r="I80" s="20">
        <f>H80*(1+Assumptions!F22)</f>
        <v>-49.032761029560007</v>
      </c>
      <c r="J80" s="20"/>
    </row>
    <row r="81" spans="1:10" x14ac:dyDescent="0.2">
      <c r="A81" s="32" t="s">
        <v>109</v>
      </c>
      <c r="B81" s="33">
        <f>Historicals!B83</f>
        <v>-7.9710000000000001</v>
      </c>
      <c r="C81" s="33">
        <f>Historicals!C83</f>
        <v>-5.46</v>
      </c>
      <c r="D81" s="33">
        <f>Historicals!D83</f>
        <v>5.681</v>
      </c>
      <c r="E81" s="33"/>
      <c r="F81" s="33"/>
      <c r="G81" s="33"/>
      <c r="H81" s="33"/>
      <c r="I81" s="33"/>
      <c r="J81" s="20"/>
    </row>
    <row r="82" spans="1:10" x14ac:dyDescent="0.2">
      <c r="A82" s="32" t="s">
        <v>110</v>
      </c>
      <c r="B82" s="33">
        <f>Historicals!B84</f>
        <v>-318.86500000000001</v>
      </c>
      <c r="C82" s="33">
        <f>Historicals!C84</f>
        <v>-400.95299999999997</v>
      </c>
      <c r="D82" s="33">
        <f>Historicals!D84</f>
        <v>-221.36999999999998</v>
      </c>
      <c r="E82" s="20">
        <f>SUM(E74:E81)</f>
        <v>-231.53870000000001</v>
      </c>
      <c r="F82" s="20">
        <f t="shared" ref="F82:I82" si="34">SUM(F74:F81)</f>
        <v>-234.588516</v>
      </c>
      <c r="G82" s="20">
        <f t="shared" si="34"/>
        <v>-237.47059211999999</v>
      </c>
      <c r="H82" s="20">
        <f t="shared" si="34"/>
        <v>-240.11386764720001</v>
      </c>
      <c r="I82" s="20">
        <f t="shared" si="34"/>
        <v>-242.44876102955999</v>
      </c>
      <c r="J82" s="20"/>
    </row>
    <row r="83" spans="1:10" x14ac:dyDescent="0.2">
      <c r="A83" s="32"/>
      <c r="B83" s="33">
        <f>Historicals!B85</f>
        <v>0</v>
      </c>
      <c r="C83" s="33">
        <f>Historicals!C85</f>
        <v>0</v>
      </c>
      <c r="D83" s="33">
        <f>Historicals!D85</f>
        <v>0</v>
      </c>
      <c r="E83" s="33"/>
      <c r="F83" s="33"/>
      <c r="G83" s="33"/>
      <c r="H83" s="33"/>
      <c r="I83" s="33"/>
      <c r="J83" s="20"/>
    </row>
    <row r="84" spans="1:10" x14ac:dyDescent="0.2">
      <c r="A84" s="32" t="s">
        <v>111</v>
      </c>
      <c r="B84" s="33">
        <f>Historicals!B86</f>
        <v>10.775000000000091</v>
      </c>
      <c r="C84" s="33">
        <f>Historicals!C86</f>
        <v>-58.990999999999985</v>
      </c>
      <c r="D84" s="33">
        <f>Historicals!D86</f>
        <v>41.390999999999934</v>
      </c>
      <c r="E84" s="31">
        <f>SUM(E67,E72,E82)</f>
        <v>154.11334057530604</v>
      </c>
      <c r="F84" s="31">
        <f t="shared" ref="F84:I84" si="35">SUM(F67,F72,F82)</f>
        <v>189.43960389703355</v>
      </c>
      <c r="G84" s="31">
        <f t="shared" si="35"/>
        <v>226.22513202958839</v>
      </c>
      <c r="H84" s="31">
        <f t="shared" si="35"/>
        <v>261.96854120662499</v>
      </c>
      <c r="I84" s="31">
        <f t="shared" si="35"/>
        <v>252.05199101525591</v>
      </c>
      <c r="J84" s="20"/>
    </row>
    <row r="85" spans="1:10" x14ac:dyDescent="0.2">
      <c r="A85" s="32" t="s">
        <v>112</v>
      </c>
      <c r="B85" s="33">
        <f>Historicals!B87</f>
        <v>337.14499999999998</v>
      </c>
      <c r="C85" s="33">
        <f>Historicals!C87</f>
        <v>347.92</v>
      </c>
      <c r="D85" s="33">
        <f>Historicals!D87</f>
        <v>288.92899999999997</v>
      </c>
      <c r="E85" s="31">
        <f>D86</f>
        <v>330.31999999999994</v>
      </c>
      <c r="F85" s="31">
        <f t="shared" ref="F85:I85" si="36">E86</f>
        <v>484.43334057530598</v>
      </c>
      <c r="G85" s="31">
        <f t="shared" si="36"/>
        <v>673.87294447233955</v>
      </c>
      <c r="H85" s="31">
        <f t="shared" si="36"/>
        <v>900.09807650192795</v>
      </c>
      <c r="I85" s="31">
        <f t="shared" si="36"/>
        <v>1162.0666177085529</v>
      </c>
      <c r="J85" s="20"/>
    </row>
    <row r="86" spans="1:10" x14ac:dyDescent="0.2">
      <c r="A86" s="32" t="s">
        <v>113</v>
      </c>
      <c r="B86" s="33">
        <f>Historicals!B88</f>
        <v>347.92000000000007</v>
      </c>
      <c r="C86" s="33">
        <f>Historicals!C88</f>
        <v>288.92900000000003</v>
      </c>
      <c r="D86" s="33">
        <f>Historicals!D88</f>
        <v>330.31999999999994</v>
      </c>
      <c r="E86" s="31">
        <f>E85+E84</f>
        <v>484.43334057530598</v>
      </c>
      <c r="F86" s="31">
        <f t="shared" ref="F86:I86" si="37">F85+F84</f>
        <v>673.87294447233955</v>
      </c>
      <c r="G86" s="31">
        <f t="shared" si="37"/>
        <v>900.09807650192795</v>
      </c>
      <c r="H86" s="31">
        <f t="shared" si="37"/>
        <v>1162.0666177085529</v>
      </c>
      <c r="I86" s="31">
        <f t="shared" si="37"/>
        <v>1414.1186087238088</v>
      </c>
      <c r="J86" s="20"/>
    </row>
    <row r="87" spans="1:10" x14ac:dyDescent="0.2">
      <c r="A87" s="32" t="s">
        <v>114</v>
      </c>
      <c r="B87" s="33">
        <f>Historicals!B89</f>
        <v>0</v>
      </c>
      <c r="C87" s="33">
        <f>Historicals!C89</f>
        <v>0</v>
      </c>
      <c r="D87" s="33">
        <f>Historicals!D89</f>
        <v>0</v>
      </c>
      <c r="E87" s="33">
        <f>E86-E21</f>
        <v>0</v>
      </c>
      <c r="F87" s="33">
        <f t="shared" ref="F87:I87" si="38">F86-F21</f>
        <v>0</v>
      </c>
      <c r="G87" s="33">
        <f t="shared" si="38"/>
        <v>0</v>
      </c>
      <c r="H87" s="33">
        <f t="shared" si="38"/>
        <v>0</v>
      </c>
      <c r="I87" s="33">
        <f t="shared" si="38"/>
        <v>0</v>
      </c>
      <c r="J87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2198-8768-3044-AF99-89E38716067E}">
  <dimension ref="A1:P29"/>
  <sheetViews>
    <sheetView workbookViewId="0">
      <selection activeCell="F35" sqref="F35"/>
    </sheetView>
  </sheetViews>
  <sheetFormatPr baseColWidth="10" defaultRowHeight="16" x14ac:dyDescent="0.2"/>
  <cols>
    <col min="1" max="1" width="32.5" customWidth="1"/>
    <col min="11" max="11" width="22.5" customWidth="1"/>
  </cols>
  <sheetData>
    <row r="1" spans="1:13" x14ac:dyDescent="0.2">
      <c r="A1" t="s">
        <v>153</v>
      </c>
    </row>
    <row r="3" spans="1:13" x14ac:dyDescent="0.2">
      <c r="E3" t="s">
        <v>116</v>
      </c>
      <c r="F3" t="s">
        <v>117</v>
      </c>
      <c r="G3" t="s">
        <v>118</v>
      </c>
      <c r="H3" t="s">
        <v>119</v>
      </c>
      <c r="I3" t="s">
        <v>120</v>
      </c>
    </row>
    <row r="5" spans="1:13" x14ac:dyDescent="0.2">
      <c r="A5" t="s">
        <v>154</v>
      </c>
      <c r="K5" t="s">
        <v>173</v>
      </c>
      <c r="M5" t="s">
        <v>206</v>
      </c>
    </row>
    <row r="6" spans="1:13" x14ac:dyDescent="0.2">
      <c r="A6" t="s">
        <v>155</v>
      </c>
      <c r="E6" s="26">
        <f>'3-Statement'!E10</f>
        <v>544.56512343999952</v>
      </c>
      <c r="F6" s="26">
        <f>'3-Statement'!F10</f>
        <v>581.70887174399968</v>
      </c>
      <c r="G6" s="26">
        <f>'3-Statement'!G10</f>
        <v>621.70135667639988</v>
      </c>
      <c r="H6" s="26">
        <f>'3-Statement'!H10</f>
        <v>664.11520478743455</v>
      </c>
      <c r="I6" s="26">
        <f>'3-Statement'!I10</f>
        <v>690.67981297893175</v>
      </c>
      <c r="K6" t="s">
        <v>174</v>
      </c>
      <c r="L6" s="35">
        <v>4.6600000000000003E-2</v>
      </c>
      <c r="M6" t="s">
        <v>188</v>
      </c>
    </row>
    <row r="7" spans="1:13" x14ac:dyDescent="0.2">
      <c r="A7" t="s">
        <v>156</v>
      </c>
      <c r="E7" s="18">
        <f>Assumptions!B11</f>
        <v>0.22500000000000001</v>
      </c>
      <c r="F7" s="18">
        <f>Assumptions!C11</f>
        <v>0.22500000000000001</v>
      </c>
      <c r="G7" s="18">
        <f>Assumptions!D11</f>
        <v>0.22500000000000001</v>
      </c>
      <c r="H7" s="18">
        <f>Assumptions!E11</f>
        <v>0.22500000000000001</v>
      </c>
      <c r="I7" s="18">
        <f>Assumptions!F11</f>
        <v>0.22500000000000001</v>
      </c>
      <c r="K7" t="s">
        <v>175</v>
      </c>
      <c r="L7" s="35">
        <v>4.2799999999999998E-2</v>
      </c>
      <c r="M7" t="s">
        <v>189</v>
      </c>
    </row>
    <row r="8" spans="1:13" x14ac:dyDescent="0.2">
      <c r="A8" t="s">
        <v>157</v>
      </c>
      <c r="E8" s="26">
        <f>E6*(1-E7)</f>
        <v>422.03797066599964</v>
      </c>
      <c r="F8" s="26">
        <f t="shared" ref="F8:I8" si="0">F6*(1-F7)</f>
        <v>450.82437560159974</v>
      </c>
      <c r="G8" s="26">
        <f t="shared" si="0"/>
        <v>481.81855142420994</v>
      </c>
      <c r="H8" s="26">
        <f t="shared" si="0"/>
        <v>514.68928371026175</v>
      </c>
      <c r="I8" s="26">
        <f t="shared" si="0"/>
        <v>535.27685505867214</v>
      </c>
      <c r="K8" t="s">
        <v>176</v>
      </c>
      <c r="L8" s="11">
        <v>1.06</v>
      </c>
      <c r="M8" t="s">
        <v>190</v>
      </c>
    </row>
    <row r="9" spans="1:13" x14ac:dyDescent="0.2">
      <c r="A9" t="s">
        <v>91</v>
      </c>
      <c r="E9" s="26">
        <f>'3-Statement'!E61</f>
        <v>146.02574999999999</v>
      </c>
      <c r="F9" s="26">
        <f>'3-Statement'!F61</f>
        <v>164.6053799</v>
      </c>
      <c r="G9" s="26">
        <f>'3-Statement'!G61</f>
        <v>181.29440569499999</v>
      </c>
      <c r="H9" s="26">
        <f>'3-Statement'!H61</f>
        <v>196.41399172589999</v>
      </c>
      <c r="I9" s="26">
        <f>'3-Statement'!I61</f>
        <v>210.47362468453426</v>
      </c>
      <c r="K9" t="s">
        <v>177</v>
      </c>
      <c r="L9" s="18">
        <f>L6+L7*L8</f>
        <v>9.1967999999999994E-2</v>
      </c>
    </row>
    <row r="10" spans="1:13" x14ac:dyDescent="0.2">
      <c r="A10" t="s">
        <v>158</v>
      </c>
      <c r="E10" s="26">
        <f>-'3-Statement'!E69</f>
        <v>220.34426960000002</v>
      </c>
      <c r="F10" s="26">
        <f>-'3-Statement'!F69</f>
        <v>231.36148308000003</v>
      </c>
      <c r="G10" s="26">
        <f>-'3-Statement'!G69</f>
        <v>241.77274981860003</v>
      </c>
      <c r="H10" s="26">
        <f>-'3-Statement'!H69</f>
        <v>252.65252356043703</v>
      </c>
      <c r="I10" s="26">
        <f>-'3-Statement'!I69</f>
        <v>262.7586245028545</v>
      </c>
      <c r="K10" t="s">
        <v>178</v>
      </c>
      <c r="L10" s="18">
        <f>'3-Statement'!D11/AVERAGE('3-Statement'!C44+'3-Statement'!C41,'3-Statement'!D44+'3-Statement'!D41)</f>
        <v>7.4708707420121465E-2</v>
      </c>
    </row>
    <row r="11" spans="1:13" x14ac:dyDescent="0.2">
      <c r="A11" t="s">
        <v>159</v>
      </c>
      <c r="E11" s="26">
        <f>SUM('3-Statement'!E22:E25)-SUM('3-Statement'!E38:E39)-(SUM('3-Statement'!D22:D25)-SUM('3-Statement'!D38:D39))</f>
        <v>10.784846975999358</v>
      </c>
      <c r="F11" s="26">
        <f>SUM('3-Statement'!F22:F25)-SUM('3-Statement'!F38:F39)-(SUM('3-Statement'!E22:E25)-SUM('3-Statement'!E38:E39))</f>
        <v>5.1245781558403678</v>
      </c>
      <c r="G11" s="26">
        <f>SUM('3-Statement'!G22:G25)-SUM('3-Statement'!G38:G39)-(SUM('3-Statement'!F22:F25)-SUM('3-Statement'!F38:F39))</f>
        <v>0.67954172744600783</v>
      </c>
      <c r="H11" s="26">
        <f>SUM('3-Statement'!H22:H25)-SUM('3-Statement'!H38:H39)-(SUM('3-Statement'!G22:G25)-SUM('3-Statement'!G38:G39))</f>
        <v>-0.79439617797493156</v>
      </c>
      <c r="I11" s="26">
        <f>SUM('3-Statement'!I22:I25)-SUM('3-Statement'!I38:I39)-(SUM('3-Statement'!H22:H25)-SUM('3-Statement'!H38:H39))</f>
        <v>30.31830282725241</v>
      </c>
      <c r="K11" t="s">
        <v>156</v>
      </c>
      <c r="L11" s="18">
        <f>Assumptions!B11</f>
        <v>0.22500000000000001</v>
      </c>
    </row>
    <row r="12" spans="1:13" x14ac:dyDescent="0.2">
      <c r="A12" t="s">
        <v>160</v>
      </c>
      <c r="E12" s="26">
        <f>E8+E9-E10-E11</f>
        <v>336.93460409000028</v>
      </c>
      <c r="F12" s="26">
        <f t="shared" ref="F12:I12" si="1">F8+F9-F10-F11</f>
        <v>378.94369426575935</v>
      </c>
      <c r="G12" s="26">
        <f t="shared" si="1"/>
        <v>420.6606655731639</v>
      </c>
      <c r="H12" s="26">
        <f t="shared" si="1"/>
        <v>459.24514805369967</v>
      </c>
      <c r="I12" s="26">
        <f t="shared" si="1"/>
        <v>452.67355241309946</v>
      </c>
      <c r="K12" t="s">
        <v>179</v>
      </c>
      <c r="L12" s="18">
        <f>L10*(1-L11)</f>
        <v>5.7899248250594136E-2</v>
      </c>
    </row>
    <row r="13" spans="1:13" x14ac:dyDescent="0.2">
      <c r="K13" t="s">
        <v>180</v>
      </c>
      <c r="L13" s="27">
        <v>43.54</v>
      </c>
      <c r="M13" t="s">
        <v>190</v>
      </c>
    </row>
    <row r="14" spans="1:13" x14ac:dyDescent="0.2">
      <c r="A14" t="s">
        <v>161</v>
      </c>
      <c r="E14" s="11">
        <v>1</v>
      </c>
      <c r="F14" s="25">
        <f>E14+1</f>
        <v>2</v>
      </c>
      <c r="G14" s="25">
        <f>F14+1</f>
        <v>3</v>
      </c>
      <c r="H14" s="25">
        <f>G14+1</f>
        <v>4</v>
      </c>
      <c r="I14" s="25">
        <f>H14+1</f>
        <v>5</v>
      </c>
      <c r="K14" t="s">
        <v>171</v>
      </c>
      <c r="L14" s="36">
        <v>62.02</v>
      </c>
      <c r="M14" t="s">
        <v>190</v>
      </c>
    </row>
    <row r="15" spans="1:13" x14ac:dyDescent="0.2">
      <c r="A15" t="s">
        <v>162</v>
      </c>
      <c r="E15" s="44">
        <f>1/(1+$L$20)^E14</f>
        <v>0.92013956351969062</v>
      </c>
      <c r="F15" s="44">
        <f t="shared" ref="F15:I15" si="2">1/(1+$L$20)^F14</f>
        <v>0.84665681635420686</v>
      </c>
      <c r="G15" s="44">
        <f t="shared" si="2"/>
        <v>0.77904243345113078</v>
      </c>
      <c r="H15" s="44">
        <f t="shared" si="2"/>
        <v>0.7168277646790413</v>
      </c>
      <c r="I15" s="44">
        <f t="shared" si="2"/>
        <v>0.65958158651056853</v>
      </c>
      <c r="K15" t="s">
        <v>181</v>
      </c>
      <c r="L15" s="26">
        <f>L13*L14</f>
        <v>2700.3508000000002</v>
      </c>
    </row>
    <row r="16" spans="1:13" x14ac:dyDescent="0.2">
      <c r="A16" t="s">
        <v>163</v>
      </c>
      <c r="E16" s="26">
        <f>E12*E15</f>
        <v>310.02685954205265</v>
      </c>
      <c r="F16" s="26">
        <f t="shared" ref="F16:I16" si="3">F12*F15</f>
        <v>320.83526176454973</v>
      </c>
      <c r="G16" s="26">
        <f t="shared" si="3"/>
        <v>327.71250856528991</v>
      </c>
      <c r="H16" s="26">
        <f t="shared" si="3"/>
        <v>329.1996729190289</v>
      </c>
      <c r="I16" s="26">
        <f t="shared" si="3"/>
        <v>298.57513987200713</v>
      </c>
      <c r="K16" t="s">
        <v>182</v>
      </c>
      <c r="L16">
        <f>'3-Statement'!D44+'3-Statement'!D41</f>
        <v>483.79300000000001</v>
      </c>
    </row>
    <row r="17" spans="1:16" x14ac:dyDescent="0.2">
      <c r="K17" t="s">
        <v>183</v>
      </c>
      <c r="L17" s="26">
        <f>SUM(L15:L16)</f>
        <v>3184.1438000000003</v>
      </c>
    </row>
    <row r="18" spans="1:16" x14ac:dyDescent="0.2">
      <c r="A18" t="s">
        <v>164</v>
      </c>
      <c r="K18" t="s">
        <v>184</v>
      </c>
      <c r="L18" s="18">
        <f>L15/L17</f>
        <v>0.84806182434348598</v>
      </c>
    </row>
    <row r="19" spans="1:16" x14ac:dyDescent="0.2">
      <c r="A19" t="s">
        <v>165</v>
      </c>
      <c r="E19" s="14">
        <v>2.5000000000000001E-2</v>
      </c>
      <c r="F19" s="11"/>
      <c r="G19" s="11"/>
      <c r="H19" s="11"/>
      <c r="I19" s="11"/>
      <c r="K19" t="s">
        <v>185</v>
      </c>
      <c r="L19" s="18">
        <f>L16/L17</f>
        <v>0.15193817565651399</v>
      </c>
    </row>
    <row r="20" spans="1:16" x14ac:dyDescent="0.2">
      <c r="A20" t="s">
        <v>164</v>
      </c>
      <c r="E20" s="26">
        <f>I12*(1+E19)/($L$20-E19)</f>
        <v>7508.9489611843765</v>
      </c>
      <c r="K20" s="43" t="s">
        <v>186</v>
      </c>
      <c r="L20" s="42">
        <f>L9*L18+L12*L19</f>
        <v>8.67916560123006E-2</v>
      </c>
    </row>
    <row r="21" spans="1:16" x14ac:dyDescent="0.2">
      <c r="A21" t="s">
        <v>166</v>
      </c>
      <c r="E21" s="26">
        <f>E20*I15</f>
        <v>4952.7644688448763</v>
      </c>
    </row>
    <row r="22" spans="1:16" x14ac:dyDescent="0.2">
      <c r="E22" s="26"/>
    </row>
    <row r="23" spans="1:16" x14ac:dyDescent="0.2">
      <c r="A23" t="s">
        <v>167</v>
      </c>
      <c r="E23" s="26">
        <f>SUM(E16:I16)+E21</f>
        <v>6539.1139115078049</v>
      </c>
      <c r="K23" t="s">
        <v>207</v>
      </c>
    </row>
    <row r="24" spans="1:16" x14ac:dyDescent="0.2">
      <c r="A24" t="s">
        <v>168</v>
      </c>
      <c r="E24" s="26">
        <f>'3-Statement'!D44+'3-Statement'!D41</f>
        <v>483.79300000000001</v>
      </c>
      <c r="K24" s="22">
        <f>$E$28</f>
        <v>102.96099502592396</v>
      </c>
      <c r="L24" s="14">
        <v>7.6999999999999999E-2</v>
      </c>
      <c r="M24" s="14">
        <v>8.2000000000000003E-2</v>
      </c>
      <c r="N24" s="14">
        <v>8.6999999999999994E-2</v>
      </c>
      <c r="O24" s="14">
        <v>9.1999999999999998E-2</v>
      </c>
      <c r="P24" s="14">
        <v>9.7000000000000003E-2</v>
      </c>
    </row>
    <row r="25" spans="1:16" x14ac:dyDescent="0.2">
      <c r="A25" t="s">
        <v>169</v>
      </c>
      <c r="E25" s="26">
        <f>'3-Statement'!D21</f>
        <v>330.32</v>
      </c>
      <c r="K25" s="14">
        <v>1.4999999999999999E-2</v>
      </c>
      <c r="L25" s="29">
        <f t="dataTable" ref="L25:P29" dt2D="1" dtr="1" r1="L20" r2="E19"/>
        <v>106.26848175895914</v>
      </c>
      <c r="M25" s="29">
        <v>98.004636653776814</v>
      </c>
      <c r="N25" s="29">
        <v>90.890280465516952</v>
      </c>
      <c r="O25" s="29">
        <v>84.701460303254848</v>
      </c>
      <c r="P25" s="29">
        <v>79.268846409800432</v>
      </c>
    </row>
    <row r="26" spans="1:16" ht="17" thickBot="1" x14ac:dyDescent="0.25">
      <c r="A26" t="s">
        <v>170</v>
      </c>
      <c r="E26" s="26">
        <f>E23-E24+E25</f>
        <v>6385.640911507805</v>
      </c>
      <c r="K26" s="14">
        <v>0.02</v>
      </c>
      <c r="L26" s="29">
        <v>113.94375783018424</v>
      </c>
      <c r="M26" s="29">
        <v>104.41448609444846</v>
      </c>
      <c r="N26" s="29">
        <v>96.30901516345007</v>
      </c>
      <c r="O26" s="29">
        <v>89.330699149084936</v>
      </c>
      <c r="P26" s="29">
        <v>83.259943345336637</v>
      </c>
    </row>
    <row r="27" spans="1:16" ht="17" thickBot="1" x14ac:dyDescent="0.25">
      <c r="A27" t="s">
        <v>171</v>
      </c>
      <c r="E27" s="26">
        <f>$L$14</f>
        <v>62.02</v>
      </c>
      <c r="K27" s="14">
        <v>2.5000000000000001E-2</v>
      </c>
      <c r="L27" s="29">
        <v>123.0950485304911</v>
      </c>
      <c r="M27" s="29">
        <v>111.94887052471162</v>
      </c>
      <c r="N27" s="45">
        <v>102.60173932879174</v>
      </c>
      <c r="O27" s="29">
        <v>94.650869165934381</v>
      </c>
      <c r="P27" s="29">
        <v>87.805359299697287</v>
      </c>
    </row>
    <row r="28" spans="1:16" x14ac:dyDescent="0.2">
      <c r="A28" s="43" t="s">
        <v>172</v>
      </c>
      <c r="B28" s="43"/>
      <c r="C28" s="43"/>
      <c r="D28" s="43"/>
      <c r="E28" s="46">
        <f>E26/E27</f>
        <v>102.96099502592396</v>
      </c>
      <c r="K28" s="14">
        <v>0.03</v>
      </c>
      <c r="L28" s="29">
        <v>134.19342235852281</v>
      </c>
      <c r="M28" s="29">
        <v>120.93217503771768</v>
      </c>
      <c r="N28" s="29">
        <v>109.9984501898074</v>
      </c>
      <c r="O28" s="29">
        <v>100.82913112098539</v>
      </c>
      <c r="P28" s="29">
        <v>93.029195545753595</v>
      </c>
    </row>
    <row r="29" spans="1:16" x14ac:dyDescent="0.2">
      <c r="K29" s="14">
        <v>3.5000000000000003E-2</v>
      </c>
      <c r="L29" s="29">
        <v>147.93426614560968</v>
      </c>
      <c r="M29" s="29">
        <v>131.82682093646972</v>
      </c>
      <c r="N29" s="29">
        <v>118.81760544717218</v>
      </c>
      <c r="O29" s="29">
        <v>108.09129868218568</v>
      </c>
      <c r="P29" s="29">
        <v>99.095586025044753</v>
      </c>
    </row>
  </sheetData>
  <conditionalFormatting sqref="L25:P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5220-D690-2C4B-89A8-A86118D95760}">
  <dimension ref="A1:M22"/>
  <sheetViews>
    <sheetView workbookViewId="0">
      <selection activeCell="F5" sqref="F5"/>
    </sheetView>
  </sheetViews>
  <sheetFormatPr baseColWidth="10" defaultRowHeight="16" x14ac:dyDescent="0.2"/>
  <cols>
    <col min="1" max="1" width="23.83203125" customWidth="1"/>
    <col min="2" max="2" width="15.33203125" bestFit="1" customWidth="1"/>
    <col min="3" max="3" width="14.1640625" bestFit="1" customWidth="1"/>
    <col min="4" max="4" width="23.1640625" bestFit="1" customWidth="1"/>
    <col min="5" max="5" width="17.5" bestFit="1" customWidth="1"/>
    <col min="6" max="6" width="16.6640625" bestFit="1" customWidth="1"/>
    <col min="7" max="7" width="25.83203125" bestFit="1" customWidth="1"/>
    <col min="8" max="8" width="19.5" bestFit="1" customWidth="1"/>
    <col min="9" max="9" width="18.33203125" bestFit="1" customWidth="1"/>
    <col min="10" max="10" width="22" bestFit="1" customWidth="1"/>
    <col min="11" max="13" width="12.6640625" bestFit="1" customWidth="1"/>
  </cols>
  <sheetData>
    <row r="1" spans="1:13" x14ac:dyDescent="0.2">
      <c r="A1" t="s">
        <v>208</v>
      </c>
    </row>
    <row r="3" spans="1:13" x14ac:dyDescent="0.2">
      <c r="A3" t="s">
        <v>1</v>
      </c>
      <c r="B3" t="s">
        <v>3</v>
      </c>
      <c r="C3" t="s">
        <v>180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211</v>
      </c>
      <c r="L3" t="s">
        <v>212</v>
      </c>
      <c r="M3" t="s">
        <v>213</v>
      </c>
    </row>
    <row r="4" spans="1:13" x14ac:dyDescent="0.2">
      <c r="A4" t="s">
        <v>214</v>
      </c>
      <c r="B4" t="s">
        <v>4</v>
      </c>
      <c r="C4" s="27">
        <v>43.54</v>
      </c>
      <c r="D4" s="48">
        <v>2700.3510000000001</v>
      </c>
      <c r="E4" s="63">
        <f>'3-Statement'!D41+'3-Statement'!D44</f>
        <v>483.79300000000001</v>
      </c>
      <c r="F4" s="63">
        <f>'3-Statement'!D21</f>
        <v>330.32</v>
      </c>
      <c r="G4" s="31">
        <f>D4+E4-F4</f>
        <v>2853.8240000000001</v>
      </c>
      <c r="H4" s="31">
        <f>'3-Statement'!D6</f>
        <v>6053.4139999999998</v>
      </c>
      <c r="I4" s="31">
        <f>'3-Statement'!D10+'3-Statement'!D61</f>
        <v>635.04999999999973</v>
      </c>
      <c r="J4" s="31">
        <f>'3-Statement'!D16</f>
        <v>376.76799999999974</v>
      </c>
      <c r="K4" s="49">
        <f>G4/H4</f>
        <v>0.471440413624444</v>
      </c>
      <c r="L4" s="49">
        <f>G4/I4</f>
        <v>4.4938571766002697</v>
      </c>
      <c r="M4" s="49">
        <f>D4/J4</f>
        <v>7.167145298963824</v>
      </c>
    </row>
    <row r="5" spans="1:13" x14ac:dyDescent="0.2">
      <c r="A5" t="s">
        <v>215</v>
      </c>
      <c r="B5" t="s">
        <v>220</v>
      </c>
      <c r="C5" s="27">
        <v>129.66</v>
      </c>
      <c r="D5" s="48">
        <v>11600</v>
      </c>
      <c r="E5" s="48">
        <v>1905.299</v>
      </c>
      <c r="F5" s="48">
        <v>1353.2260000000001</v>
      </c>
      <c r="G5" s="31">
        <f>D5+E5-F5</f>
        <v>12152.072999999999</v>
      </c>
      <c r="H5" s="48">
        <v>17215.12</v>
      </c>
      <c r="I5" s="48">
        <v>1584.539</v>
      </c>
      <c r="J5" s="48">
        <v>849.23900000000003</v>
      </c>
      <c r="K5" s="49">
        <f>G5/H5</f>
        <v>0.70589534083991279</v>
      </c>
      <c r="L5" s="49">
        <f>G5/I5</f>
        <v>7.6691536150261994</v>
      </c>
      <c r="M5" s="49">
        <f>D5/J5</f>
        <v>13.659287903640788</v>
      </c>
    </row>
    <row r="6" spans="1:13" x14ac:dyDescent="0.2">
      <c r="A6" t="s">
        <v>216</v>
      </c>
      <c r="B6" t="s">
        <v>221</v>
      </c>
      <c r="C6" s="27">
        <v>159.72</v>
      </c>
      <c r="D6" s="48">
        <v>4870</v>
      </c>
      <c r="E6" s="47">
        <v>0</v>
      </c>
      <c r="F6" s="47">
        <v>141.036</v>
      </c>
      <c r="G6" s="22">
        <f>D6+E6-F6</f>
        <v>4728.9639999999999</v>
      </c>
      <c r="H6" s="47">
        <v>2253.8589999999999</v>
      </c>
      <c r="I6" s="47">
        <v>377.79899999999998</v>
      </c>
      <c r="J6" s="47">
        <v>225.88</v>
      </c>
      <c r="K6" s="49">
        <f>G6/H6</f>
        <v>2.0981631947695041</v>
      </c>
      <c r="L6" s="49">
        <f>G6/I6</f>
        <v>12.517142713453451</v>
      </c>
      <c r="M6" s="49">
        <f>D6/J6</f>
        <v>21.56012041792102</v>
      </c>
    </row>
    <row r="7" spans="1:13" x14ac:dyDescent="0.2">
      <c r="A7" t="s">
        <v>217</v>
      </c>
      <c r="B7" t="s">
        <v>222</v>
      </c>
      <c r="C7" s="27">
        <v>1.1599999999999999</v>
      </c>
      <c r="D7" s="48">
        <v>45.26</v>
      </c>
      <c r="E7" s="47">
        <v>91.665000000000006</v>
      </c>
      <c r="F7" s="47">
        <v>1.659</v>
      </c>
      <c r="G7" s="22">
        <f>D7+E7-F7</f>
        <v>135.26600000000002</v>
      </c>
      <c r="H7" s="47">
        <v>1209.182</v>
      </c>
      <c r="I7" s="47">
        <v>1.74</v>
      </c>
      <c r="J7" s="47">
        <v>-50.061</v>
      </c>
      <c r="K7" s="49">
        <f>G7/H7</f>
        <v>0.11186570756097926</v>
      </c>
      <c r="L7" s="49">
        <f>G7/I7</f>
        <v>77.739080459770122</v>
      </c>
      <c r="M7" s="50" t="s">
        <v>242</v>
      </c>
    </row>
    <row r="8" spans="1:13" x14ac:dyDescent="0.2">
      <c r="A8" t="s">
        <v>223</v>
      </c>
      <c r="B8" t="s">
        <v>224</v>
      </c>
      <c r="C8" s="27">
        <v>35.01</v>
      </c>
      <c r="D8" s="48">
        <v>18366.771000000001</v>
      </c>
      <c r="E8" s="47">
        <v>1764.9739999999999</v>
      </c>
      <c r="F8" s="47">
        <v>194.10900000000001</v>
      </c>
      <c r="G8" s="22">
        <f>D8+E8-F8</f>
        <v>19937.635999999999</v>
      </c>
      <c r="H8" s="47">
        <v>15524.046</v>
      </c>
      <c r="I8" s="47">
        <v>1961.4</v>
      </c>
      <c r="J8" s="47">
        <v>1096.087</v>
      </c>
      <c r="K8" s="49">
        <f>G8/H8</f>
        <v>1.2843066813896324</v>
      </c>
      <c r="L8" s="49">
        <f>G8/I8</f>
        <v>10.165002549199551</v>
      </c>
      <c r="M8" s="49">
        <f>D8/J8</f>
        <v>16.756672599893989</v>
      </c>
    </row>
    <row r="9" spans="1:13" x14ac:dyDescent="0.2">
      <c r="A9" t="s">
        <v>218</v>
      </c>
      <c r="K9" s="49">
        <f>MEDIAN(K4:K8)</f>
        <v>0.70589534083991279</v>
      </c>
      <c r="L9" s="49">
        <f>MEDIAN(L4:L8)</f>
        <v>10.165002549199551</v>
      </c>
      <c r="M9" s="49">
        <f>MEDIAN(M4:M8)</f>
        <v>15.207980251767388</v>
      </c>
    </row>
    <row r="10" spans="1:13" x14ac:dyDescent="0.2">
      <c r="A10" t="s">
        <v>219</v>
      </c>
      <c r="K10" s="49">
        <f>AVERAGE(K4:K8)</f>
        <v>0.93433426763689464</v>
      </c>
      <c r="L10" s="49">
        <f>AVERAGE(L4:L8)</f>
        <v>22.516847302809918</v>
      </c>
      <c r="M10" s="49">
        <f>AVERAGE(M4:M8)</f>
        <v>14.785806555104905</v>
      </c>
    </row>
    <row r="12" spans="1:13" x14ac:dyDescent="0.2">
      <c r="A12" t="s">
        <v>251</v>
      </c>
    </row>
    <row r="13" spans="1:13" x14ac:dyDescent="0.2">
      <c r="A13" t="s">
        <v>252</v>
      </c>
      <c r="B13" t="s">
        <v>253</v>
      </c>
      <c r="C13" t="s">
        <v>254</v>
      </c>
      <c r="D13" t="s">
        <v>255</v>
      </c>
      <c r="E13" t="s">
        <v>256</v>
      </c>
      <c r="F13" t="s">
        <v>257</v>
      </c>
      <c r="G13" t="s">
        <v>172</v>
      </c>
    </row>
    <row r="14" spans="1:13" x14ac:dyDescent="0.2">
      <c r="A14" t="s">
        <v>211</v>
      </c>
      <c r="B14" s="49">
        <f>K9</f>
        <v>0.70589534083991279</v>
      </c>
      <c r="C14" s="31">
        <f>H4</f>
        <v>6053.4139999999998</v>
      </c>
      <c r="D14" s="31">
        <f>B14*C14</f>
        <v>4273.0767387750993</v>
      </c>
      <c r="E14" s="31">
        <f>D14-$E$4+$F$4</f>
        <v>4119.6037387750994</v>
      </c>
      <c r="F14" s="31">
        <f>$D$4/$C$4</f>
        <v>62.020004593477267</v>
      </c>
      <c r="G14" s="51">
        <f>E14/F14</f>
        <v>66.423789643001157</v>
      </c>
    </row>
    <row r="15" spans="1:13" x14ac:dyDescent="0.2">
      <c r="A15" t="s">
        <v>212</v>
      </c>
      <c r="B15" s="49">
        <f>L9</f>
        <v>10.165002549199551</v>
      </c>
      <c r="C15" s="31">
        <f>I4</f>
        <v>635.04999999999973</v>
      </c>
      <c r="D15" s="31">
        <f>B15*C15</f>
        <v>6455.284868869172</v>
      </c>
      <c r="E15" s="31">
        <f>D15-$E$4+$F$4</f>
        <v>6301.811868869172</v>
      </c>
      <c r="F15" s="31">
        <f>$D$4/$C$4</f>
        <v>62.020004593477267</v>
      </c>
      <c r="G15" s="51">
        <f>E15/F15</f>
        <v>101.60934218202142</v>
      </c>
    </row>
    <row r="16" spans="1:13" x14ac:dyDescent="0.2">
      <c r="A16" t="s">
        <v>213</v>
      </c>
      <c r="B16" s="49">
        <f>M9</f>
        <v>15.207980251767388</v>
      </c>
      <c r="C16" s="31">
        <f>J4</f>
        <v>376.76799999999974</v>
      </c>
      <c r="D16" s="31" t="str">
        <f>""</f>
        <v/>
      </c>
      <c r="E16" s="31">
        <f>B16*C16</f>
        <v>5729.8803034978919</v>
      </c>
      <c r="F16" s="31">
        <f>$D$4/$C$4</f>
        <v>62.020004593477267</v>
      </c>
      <c r="G16" s="51">
        <f>E16/F16</f>
        <v>92.387614948685638</v>
      </c>
    </row>
    <row r="18" spans="1:2" x14ac:dyDescent="0.2">
      <c r="A18" t="s">
        <v>258</v>
      </c>
      <c r="B18" s="51">
        <f>MIN(G14:G16)</f>
        <v>66.423789643001157</v>
      </c>
    </row>
    <row r="19" spans="1:2" x14ac:dyDescent="0.2">
      <c r="A19" s="43" t="s">
        <v>259</v>
      </c>
      <c r="B19" s="52">
        <f>AVERAGE(G14:G16)</f>
        <v>86.806915591236063</v>
      </c>
    </row>
    <row r="20" spans="1:2" x14ac:dyDescent="0.2">
      <c r="A20" t="s">
        <v>260</v>
      </c>
      <c r="B20" s="51">
        <f>MAX(G14:G16)</f>
        <v>101.60934218202142</v>
      </c>
    </row>
    <row r="21" spans="1:2" x14ac:dyDescent="0.2">
      <c r="A21" t="s">
        <v>261</v>
      </c>
      <c r="B21" s="51">
        <f>C4</f>
        <v>43.54</v>
      </c>
    </row>
    <row r="22" spans="1:2" x14ac:dyDescent="0.2">
      <c r="A22" t="s">
        <v>262</v>
      </c>
      <c r="B22" s="18">
        <f>B19/B21-1</f>
        <v>0.99372796488828818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BD76-5413-8D46-BB0A-ECF459E11BDA}">
  <dimension ref="A1:H64"/>
  <sheetViews>
    <sheetView tabSelected="1" topLeftCell="A20" workbookViewId="0">
      <selection activeCell="D49" sqref="D49"/>
    </sheetView>
  </sheetViews>
  <sheetFormatPr baseColWidth="10" defaultRowHeight="16" x14ac:dyDescent="0.2"/>
  <cols>
    <col min="1" max="1" width="27.33203125" customWidth="1"/>
    <col min="2" max="2" width="12.1640625" bestFit="1" customWidth="1"/>
    <col min="3" max="3" width="11.5" bestFit="1" customWidth="1"/>
    <col min="4" max="4" width="17.83203125" bestFit="1" customWidth="1"/>
    <col min="5" max="6" width="11.5" bestFit="1" customWidth="1"/>
  </cols>
  <sheetData>
    <row r="1" spans="1:5" x14ac:dyDescent="0.2">
      <c r="A1" t="s">
        <v>263</v>
      </c>
    </row>
    <row r="3" spans="1:5" x14ac:dyDescent="0.2">
      <c r="A3" t="s">
        <v>264</v>
      </c>
    </row>
    <row r="4" spans="1:5" x14ac:dyDescent="0.2">
      <c r="A4" t="s">
        <v>265</v>
      </c>
      <c r="B4" s="51">
        <f>Comps!C4*(1+$E$4)</f>
        <v>52.247999999999998</v>
      </c>
      <c r="D4" t="s">
        <v>332</v>
      </c>
      <c r="E4" s="14">
        <v>0.2</v>
      </c>
    </row>
    <row r="5" spans="1:5" x14ac:dyDescent="0.2">
      <c r="A5" t="s">
        <v>171</v>
      </c>
      <c r="B5" s="26">
        <f>Comps!F14</f>
        <v>62.020004593477267</v>
      </c>
      <c r="D5" t="s">
        <v>333</v>
      </c>
      <c r="E5" s="27">
        <v>100</v>
      </c>
    </row>
    <row r="6" spans="1:5" x14ac:dyDescent="0.2">
      <c r="A6" t="s">
        <v>266</v>
      </c>
      <c r="B6" s="31">
        <f>B4*B5</f>
        <v>3240.4212000000002</v>
      </c>
    </row>
    <row r="7" spans="1:5" x14ac:dyDescent="0.2">
      <c r="A7" t="s">
        <v>267</v>
      </c>
      <c r="B7" s="31">
        <f>Comps!E4</f>
        <v>483.79300000000001</v>
      </c>
    </row>
    <row r="8" spans="1:5" x14ac:dyDescent="0.2">
      <c r="A8" t="s">
        <v>268</v>
      </c>
      <c r="B8" s="31">
        <f>B6*E8</f>
        <v>64.808424000000002</v>
      </c>
      <c r="D8" t="s">
        <v>270</v>
      </c>
      <c r="E8" s="14">
        <v>0.02</v>
      </c>
    </row>
    <row r="9" spans="1:5" x14ac:dyDescent="0.2">
      <c r="A9" t="s">
        <v>269</v>
      </c>
      <c r="B9" s="31">
        <f>SUM(B6:B8)</f>
        <v>3789.0226240000002</v>
      </c>
    </row>
    <row r="11" spans="1:5" x14ac:dyDescent="0.2">
      <c r="A11" t="s">
        <v>271</v>
      </c>
    </row>
    <row r="12" spans="1:5" x14ac:dyDescent="0.2">
      <c r="A12" t="s">
        <v>272</v>
      </c>
      <c r="B12" s="31">
        <f>Comps!I4</f>
        <v>635.04999999999973</v>
      </c>
    </row>
    <row r="13" spans="1:5" x14ac:dyDescent="0.2">
      <c r="A13" t="s">
        <v>273</v>
      </c>
      <c r="B13" s="53">
        <v>4.5</v>
      </c>
    </row>
    <row r="14" spans="1:5" x14ac:dyDescent="0.2">
      <c r="A14" t="s">
        <v>274</v>
      </c>
      <c r="B14" s="31">
        <f>B12*B13</f>
        <v>2857.7249999999985</v>
      </c>
    </row>
    <row r="15" spans="1:5" x14ac:dyDescent="0.2">
      <c r="A15" t="s">
        <v>275</v>
      </c>
      <c r="B15" s="31">
        <f>B9-B14</f>
        <v>931.29762400000163</v>
      </c>
    </row>
    <row r="16" spans="1:5" x14ac:dyDescent="0.2">
      <c r="A16" t="s">
        <v>276</v>
      </c>
      <c r="B16" s="31">
        <f>SUM(B14:B15)</f>
        <v>3789.0226240000002</v>
      </c>
    </row>
    <row r="17" spans="1:8" x14ac:dyDescent="0.2">
      <c r="A17" t="s">
        <v>277</v>
      </c>
      <c r="B17" s="54">
        <f>B16-B9</f>
        <v>0</v>
      </c>
    </row>
    <row r="19" spans="1:8" x14ac:dyDescent="0.2">
      <c r="H19" t="s">
        <v>283</v>
      </c>
    </row>
    <row r="20" spans="1:8" x14ac:dyDescent="0.2">
      <c r="A20" t="s">
        <v>285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</row>
    <row r="21" spans="1:8" x14ac:dyDescent="0.2">
      <c r="A21" t="s">
        <v>209</v>
      </c>
      <c r="B21" s="31">
        <f>'3-Statement'!E6</f>
        <v>6295.5505599999997</v>
      </c>
      <c r="C21" s="31">
        <f>'3-Statement'!F6</f>
        <v>6610.3280880000002</v>
      </c>
      <c r="D21" s="31">
        <f>'3-Statement'!G6</f>
        <v>6907.79285196</v>
      </c>
      <c r="E21" s="31">
        <f>'3-Statement'!H6</f>
        <v>7218.6435302981999</v>
      </c>
      <c r="F21" s="31">
        <f>'3-Statement'!I6</f>
        <v>7507.3892715101283</v>
      </c>
    </row>
    <row r="22" spans="1:8" x14ac:dyDescent="0.2">
      <c r="A22" t="s">
        <v>210</v>
      </c>
      <c r="B22" s="31">
        <f>'3-Statement'!E10+'3-Statement'!E61</f>
        <v>690.59087343999954</v>
      </c>
      <c r="C22" s="31">
        <f>'3-Statement'!F10+'3-Statement'!F61</f>
        <v>746.31425164399968</v>
      </c>
      <c r="D22" s="31">
        <f>'3-Statement'!G10+'3-Statement'!G61</f>
        <v>802.99576237139991</v>
      </c>
      <c r="E22" s="31">
        <f>'3-Statement'!H10+'3-Statement'!H61</f>
        <v>860.52919651333457</v>
      </c>
      <c r="F22" s="31">
        <f>'3-Statement'!I10+'3-Statement'!I61</f>
        <v>901.15343766346598</v>
      </c>
    </row>
    <row r="23" spans="1:8" x14ac:dyDescent="0.2">
      <c r="A23" t="s">
        <v>278</v>
      </c>
      <c r="B23" s="18">
        <f>B22/B21</f>
        <v>0.10969507223527081</v>
      </c>
      <c r="C23" s="18">
        <f t="shared" ref="C23:F23" si="0">C22/C21</f>
        <v>0.11290124207281248</v>
      </c>
      <c r="D23" s="18">
        <f t="shared" si="0"/>
        <v>0.11624491057857357</v>
      </c>
      <c r="E23" s="18">
        <f t="shared" si="0"/>
        <v>0.11920926596548345</v>
      </c>
      <c r="F23" s="18">
        <f t="shared" si="0"/>
        <v>0.12003552834049284</v>
      </c>
    </row>
    <row r="24" spans="1:8" x14ac:dyDescent="0.2">
      <c r="A24" t="s">
        <v>279</v>
      </c>
      <c r="B24" s="31">
        <f>'3-Statement'!E69</f>
        <v>-220.34426960000002</v>
      </c>
      <c r="C24" s="31">
        <f>'3-Statement'!F69</f>
        <v>-231.36148308000003</v>
      </c>
      <c r="D24" s="31">
        <f>'3-Statement'!G69</f>
        <v>-241.77274981860003</v>
      </c>
      <c r="E24" s="31">
        <f>'3-Statement'!H69</f>
        <v>-252.65252356043703</v>
      </c>
      <c r="F24" s="31">
        <f>'3-Statement'!I69</f>
        <v>-262.7586245028545</v>
      </c>
    </row>
    <row r="25" spans="1:8" x14ac:dyDescent="0.2">
      <c r="A25" t="s">
        <v>280</v>
      </c>
      <c r="B25" s="31">
        <f>-MAX(0,('3-Statement'!E10+B32-'3-Statement'!E12+'3-Statement'!E13)*Assumptions!B11)</f>
        <v>-76.663401398999909</v>
      </c>
      <c r="C25" s="31">
        <f>-MAX(0,('3-Statement'!F10+C32-'3-Statement'!F12+'3-Statement'!F13)*Assumptions!C11)</f>
        <v>-87.931777337746837</v>
      </c>
      <c r="D25" s="31">
        <f>-MAX(0,('3-Statement'!G10+D32-'3-Statement'!G12+'3-Statement'!G13)*Assumptions!D11)</f>
        <v>-100.75378323075111</v>
      </c>
      <c r="E25" s="31">
        <f>-MAX(0,('3-Statement'!H10+E32-'3-Statement'!H12+'3-Statement'!H13)*Assumptions!E11)</f>
        <v>-115.04347629781992</v>
      </c>
      <c r="F25" s="31">
        <f>-MAX(0,('3-Statement'!I10+F32-'3-Statement'!I12+'3-Statement'!I13)*Assumptions!F11)</f>
        <v>-126.67706971603617</v>
      </c>
      <c r="H25" t="s">
        <v>282</v>
      </c>
    </row>
    <row r="26" spans="1:8" x14ac:dyDescent="0.2">
      <c r="A26" t="s">
        <v>159</v>
      </c>
      <c r="B26" s="31">
        <f>('3-Statement'!D22+'3-Statement'!D23+'3-Statement'!D24-'3-Statement'!D38-'3-Statement'!D39)-('3-Statement'!E22+'3-Statement'!E23+'3-Statement'!E24-'3-Statement'!E38-'3-Statement'!E39)</f>
        <v>-13.741846975999465</v>
      </c>
      <c r="C26" s="31">
        <f>('3-Statement'!E22+'3-Statement'!E23+'3-Statement'!E24-'3-Statement'!E38-'3-Statement'!E39)-('3-Statement'!F22+'3-Statement'!F23+'3-Statement'!F24-'3-Statement'!F38-'3-Statement'!F39)</f>
        <v>-5.1245781558403678</v>
      </c>
      <c r="D26" s="31">
        <f>('3-Statement'!F22+'3-Statement'!F23+'3-Statement'!F24-'3-Statement'!F38-'3-Statement'!F39)-('3-Statement'!G22+'3-Statement'!G23+'3-Statement'!G24-'3-Statement'!G38-'3-Statement'!G39)</f>
        <v>-0.67954172744600783</v>
      </c>
      <c r="E26" s="31">
        <f>('3-Statement'!G22+'3-Statement'!G23+'3-Statement'!G24-'3-Statement'!G38-'3-Statement'!G39)-('3-Statement'!H22+'3-Statement'!H23+'3-Statement'!H24-'3-Statement'!H38-'3-Statement'!H39)</f>
        <v>0.79439617797504525</v>
      </c>
      <c r="F26" s="31">
        <f>('3-Statement'!H22+'3-Statement'!H23+'3-Statement'!H24-'3-Statement'!H38-'3-Statement'!H39)-('3-Statement'!I22+'3-Statement'!I23+'3-Statement'!I24-'3-Statement'!I38-'3-Statement'!I39)</f>
        <v>-30.318302827252523</v>
      </c>
    </row>
    <row r="27" spans="1:8" x14ac:dyDescent="0.2">
      <c r="A27" t="s">
        <v>281</v>
      </c>
      <c r="B27" s="31">
        <f>B22+B24+B25+B26</f>
        <v>379.84135546500016</v>
      </c>
      <c r="C27" s="31">
        <f t="shared" ref="C27:F27" si="1">C22+C24+C25+C26</f>
        <v>421.89641307041239</v>
      </c>
      <c r="D27" s="31">
        <f t="shared" si="1"/>
        <v>459.78968759460281</v>
      </c>
      <c r="E27" s="31">
        <f t="shared" si="1"/>
        <v>493.62759283305263</v>
      </c>
      <c r="F27" s="31">
        <f t="shared" si="1"/>
        <v>481.39944061732274</v>
      </c>
    </row>
    <row r="28" spans="1:8" x14ac:dyDescent="0.2">
      <c r="H28" t="s">
        <v>284</v>
      </c>
    </row>
    <row r="29" spans="1:8" x14ac:dyDescent="0.2">
      <c r="A29" s="55" t="s">
        <v>286</v>
      </c>
    </row>
    <row r="30" spans="1:8" x14ac:dyDescent="0.2">
      <c r="A30" s="55" t="s">
        <v>287</v>
      </c>
      <c r="B30" s="31">
        <f>$B$14</f>
        <v>2857.7249999999985</v>
      </c>
      <c r="C30" s="31">
        <f>B35</f>
        <v>2692.2130195349982</v>
      </c>
      <c r="D30" s="31">
        <f t="shared" ref="D30:F30" si="2">C35</f>
        <v>2472.2325829297106</v>
      </c>
      <c r="E30" s="31">
        <f t="shared" si="2"/>
        <v>2197.860339054836</v>
      </c>
      <c r="F30" s="31">
        <f t="shared" si="2"/>
        <v>1869.072271650896</v>
      </c>
    </row>
    <row r="31" spans="1:8" x14ac:dyDescent="0.2">
      <c r="A31" s="55" t="s">
        <v>288</v>
      </c>
      <c r="B31" s="14">
        <v>7.4999999999999997E-2</v>
      </c>
      <c r="C31" s="14">
        <v>7.4999999999999997E-2</v>
      </c>
      <c r="D31" s="14">
        <v>7.4999999999999997E-2</v>
      </c>
      <c r="E31" s="14">
        <v>7.4999999999999997E-2</v>
      </c>
      <c r="F31" s="14">
        <v>7.4999999999999997E-2</v>
      </c>
    </row>
    <row r="32" spans="1:8" x14ac:dyDescent="0.2">
      <c r="A32" s="55" t="s">
        <v>289</v>
      </c>
      <c r="B32" s="20">
        <f>-B30*B31</f>
        <v>-214.32937499999989</v>
      </c>
      <c r="C32" s="20">
        <f t="shared" ref="C32:F32" si="3">-C30*C31</f>
        <v>-201.91597646512486</v>
      </c>
      <c r="D32" s="20">
        <f t="shared" si="3"/>
        <v>-185.41744371972828</v>
      </c>
      <c r="E32" s="20">
        <f t="shared" si="3"/>
        <v>-164.83952542911268</v>
      </c>
      <c r="F32" s="20">
        <f t="shared" si="3"/>
        <v>-140.18042037381719</v>
      </c>
    </row>
    <row r="33" spans="1:6" x14ac:dyDescent="0.2">
      <c r="A33" s="55" t="s">
        <v>290</v>
      </c>
      <c r="B33" s="31">
        <f>B27+B32</f>
        <v>165.51198046500028</v>
      </c>
      <c r="C33" s="31">
        <f t="shared" ref="C33:F33" si="4">C27+C32</f>
        <v>219.98043660528754</v>
      </c>
      <c r="D33" s="31">
        <f t="shared" si="4"/>
        <v>274.37224387487453</v>
      </c>
      <c r="E33" s="31">
        <f t="shared" si="4"/>
        <v>328.78806740393998</v>
      </c>
      <c r="F33" s="31">
        <f t="shared" si="4"/>
        <v>341.21902024350555</v>
      </c>
    </row>
    <row r="34" spans="1:6" x14ac:dyDescent="0.2">
      <c r="A34" s="55" t="s">
        <v>291</v>
      </c>
      <c r="B34" s="31">
        <f>-MIN(MAX(B33,0),B30)</f>
        <v>-165.51198046500028</v>
      </c>
      <c r="C34" s="31">
        <f t="shared" ref="C34:F34" si="5">-MIN(MAX(C33,0),C30)</f>
        <v>-219.98043660528754</v>
      </c>
      <c r="D34" s="31">
        <f t="shared" si="5"/>
        <v>-274.37224387487453</v>
      </c>
      <c r="E34" s="31">
        <f t="shared" si="5"/>
        <v>-328.78806740393998</v>
      </c>
      <c r="F34" s="31">
        <f t="shared" si="5"/>
        <v>-341.21902024350555</v>
      </c>
    </row>
    <row r="35" spans="1:6" x14ac:dyDescent="0.2">
      <c r="A35" s="55" t="s">
        <v>292</v>
      </c>
      <c r="B35" s="31">
        <f>B30+B34</f>
        <v>2692.2130195349982</v>
      </c>
      <c r="C35" s="31">
        <f t="shared" ref="C35:F35" si="6">C30+C34</f>
        <v>2472.2325829297106</v>
      </c>
      <c r="D35" s="31">
        <f t="shared" si="6"/>
        <v>2197.860339054836</v>
      </c>
      <c r="E35" s="31">
        <f t="shared" si="6"/>
        <v>1869.072271650896</v>
      </c>
      <c r="F35" s="31">
        <f t="shared" si="6"/>
        <v>1527.8532514073904</v>
      </c>
    </row>
    <row r="38" spans="1:6" x14ac:dyDescent="0.2">
      <c r="A38" t="s">
        <v>293</v>
      </c>
    </row>
    <row r="39" spans="1:6" x14ac:dyDescent="0.2">
      <c r="A39" t="s">
        <v>294</v>
      </c>
      <c r="B39" s="11">
        <v>5</v>
      </c>
    </row>
    <row r="40" spans="1:6" x14ac:dyDescent="0.2">
      <c r="A40" t="s">
        <v>295</v>
      </c>
      <c r="B40" s="31">
        <f>F22</f>
        <v>901.15343766346598</v>
      </c>
    </row>
    <row r="41" spans="1:6" x14ac:dyDescent="0.2">
      <c r="A41" t="s">
        <v>296</v>
      </c>
      <c r="B41" s="53">
        <v>4.5</v>
      </c>
    </row>
    <row r="42" spans="1:6" x14ac:dyDescent="0.2">
      <c r="A42" t="s">
        <v>297</v>
      </c>
      <c r="B42" s="31">
        <f>B40*B41</f>
        <v>4055.1904694855971</v>
      </c>
    </row>
    <row r="43" spans="1:6" x14ac:dyDescent="0.2">
      <c r="A43" t="s">
        <v>298</v>
      </c>
      <c r="B43" s="31">
        <f>-F35</f>
        <v>-1527.8532514073904</v>
      </c>
    </row>
    <row r="44" spans="1:6" x14ac:dyDescent="0.2">
      <c r="A44" t="s">
        <v>299</v>
      </c>
      <c r="B44" s="63">
        <f>$E$5</f>
        <v>100</v>
      </c>
    </row>
    <row r="45" spans="1:6" x14ac:dyDescent="0.2">
      <c r="A45" t="s">
        <v>300</v>
      </c>
      <c r="B45" s="31">
        <f>SUM(B42:B44)</f>
        <v>2627.3372180782067</v>
      </c>
    </row>
    <row r="48" spans="1:6" x14ac:dyDescent="0.2">
      <c r="A48" t="s">
        <v>301</v>
      </c>
    </row>
    <row r="49" spans="1:7" x14ac:dyDescent="0.2">
      <c r="A49" t="s">
        <v>302</v>
      </c>
      <c r="B49" s="31">
        <f>$B$15</f>
        <v>931.29762400000163</v>
      </c>
    </row>
    <row r="50" spans="1:7" x14ac:dyDescent="0.2">
      <c r="A50" t="s">
        <v>300</v>
      </c>
      <c r="B50" s="31">
        <f>$B$45</f>
        <v>2627.3372180782067</v>
      </c>
    </row>
    <row r="51" spans="1:7" x14ac:dyDescent="0.2">
      <c r="A51" s="43" t="s">
        <v>303</v>
      </c>
      <c r="B51" s="56">
        <f>B50/B49</f>
        <v>2.8211574370753492</v>
      </c>
    </row>
    <row r="52" spans="1:7" x14ac:dyDescent="0.2">
      <c r="A52" s="43" t="s">
        <v>304</v>
      </c>
      <c r="B52" s="57">
        <f>IRR(B55:G55)</f>
        <v>0.23051089863042895</v>
      </c>
    </row>
    <row r="54" spans="1:7" x14ac:dyDescent="0.2">
      <c r="A54" t="s">
        <v>305</v>
      </c>
      <c r="B54" t="s">
        <v>306</v>
      </c>
      <c r="C54" t="s">
        <v>307</v>
      </c>
      <c r="D54" t="s">
        <v>308</v>
      </c>
      <c r="E54" t="s">
        <v>309</v>
      </c>
      <c r="F54" t="s">
        <v>310</v>
      </c>
      <c r="G54" t="s">
        <v>311</v>
      </c>
    </row>
    <row r="55" spans="1:7" x14ac:dyDescent="0.2">
      <c r="B55" s="22">
        <f>-$B$49</f>
        <v>-931.29762400000163</v>
      </c>
      <c r="C55">
        <v>0</v>
      </c>
      <c r="D55">
        <v>0</v>
      </c>
      <c r="E55">
        <v>0</v>
      </c>
      <c r="F55">
        <v>0</v>
      </c>
      <c r="G55" s="22">
        <f>$B$50</f>
        <v>2627.3372180782067</v>
      </c>
    </row>
    <row r="57" spans="1:7" x14ac:dyDescent="0.2">
      <c r="A57" t="s">
        <v>314</v>
      </c>
    </row>
    <row r="58" spans="1:7" x14ac:dyDescent="0.2">
      <c r="A58" s="30" t="s">
        <v>312</v>
      </c>
      <c r="B58" t="s">
        <v>313</v>
      </c>
    </row>
    <row r="59" spans="1:7" x14ac:dyDescent="0.2">
      <c r="A59" s="58">
        <f>$B$52</f>
        <v>0.23051089863042895</v>
      </c>
      <c r="B59" s="49">
        <v>3.5</v>
      </c>
      <c r="C59" s="49">
        <v>4</v>
      </c>
      <c r="D59" s="49">
        <v>4.5</v>
      </c>
      <c r="E59" s="49">
        <v>5</v>
      </c>
      <c r="F59" s="49">
        <v>5.5</v>
      </c>
    </row>
    <row r="60" spans="1:7" x14ac:dyDescent="0.2">
      <c r="A60" s="49">
        <v>3</v>
      </c>
      <c r="B60" s="18">
        <f t="dataTable" ref="B60:F64" dt2D="1" dtr="1" r1="B41" r2="B13"/>
        <v>9.6769813305870755E-2</v>
      </c>
      <c r="C60" s="18">
        <v>0.12799871766230653</v>
      </c>
      <c r="D60" s="18">
        <v>0.1561092540438147</v>
      </c>
      <c r="E60" s="18">
        <v>0.18172505899222546</v>
      </c>
      <c r="F60" s="18">
        <v>0.20529498651316413</v>
      </c>
    </row>
    <row r="61" spans="1:7" x14ac:dyDescent="0.2">
      <c r="A61" s="49">
        <v>3.5</v>
      </c>
      <c r="B61" s="18">
        <v>0.10397551189615473</v>
      </c>
      <c r="C61" s="18">
        <v>0.14024501778182064</v>
      </c>
      <c r="D61" s="18">
        <v>0.17241251384831702</v>
      </c>
      <c r="E61" s="18">
        <v>0.20139394921942189</v>
      </c>
      <c r="F61" s="18">
        <v>0.22782189229044625</v>
      </c>
    </row>
    <row r="62" spans="1:7" ht="17" thickBot="1" x14ac:dyDescent="0.25">
      <c r="A62" s="49">
        <v>4</v>
      </c>
      <c r="B62" s="18">
        <v>0.11450181330385045</v>
      </c>
      <c r="C62" s="18">
        <v>0.15777862768705209</v>
      </c>
      <c r="D62" s="18">
        <v>0.1954115356027597</v>
      </c>
      <c r="E62" s="18">
        <v>0.22882729623434472</v>
      </c>
      <c r="F62" s="18">
        <v>0.2589599651019161</v>
      </c>
    </row>
    <row r="63" spans="1:7" ht="17" thickBot="1" x14ac:dyDescent="0.25">
      <c r="A63" s="49">
        <v>4.5</v>
      </c>
      <c r="B63" s="18">
        <v>0.13135710168539561</v>
      </c>
      <c r="C63" s="18">
        <v>0.1850711637186282</v>
      </c>
      <c r="D63" s="59">
        <v>0.23051089863042895</v>
      </c>
      <c r="E63" s="18">
        <v>0.27008736444639392</v>
      </c>
      <c r="F63" s="18">
        <v>0.30526921534446871</v>
      </c>
    </row>
    <row r="64" spans="1:7" x14ac:dyDescent="0.2">
      <c r="A64" s="49">
        <v>5</v>
      </c>
      <c r="B64" s="18">
        <v>0.16284323314655147</v>
      </c>
      <c r="C64" s="18">
        <v>0.23390829504478439</v>
      </c>
      <c r="D64" s="18">
        <v>0.29159387695301486</v>
      </c>
      <c r="E64" s="18">
        <v>0.34050447001708006</v>
      </c>
      <c r="F64" s="18">
        <v>0.38317001645508841</v>
      </c>
    </row>
  </sheetData>
  <conditionalFormatting sqref="B60:F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AF00-AC2E-A24C-BA08-02A1AB8BA889}">
  <dimension ref="A1:C9"/>
  <sheetViews>
    <sheetView workbookViewId="0">
      <selection activeCell="C6" sqref="C6"/>
    </sheetView>
  </sheetViews>
  <sheetFormatPr baseColWidth="10" defaultRowHeight="16" x14ac:dyDescent="0.2"/>
  <cols>
    <col min="1" max="1" width="29.33203125" bestFit="1" customWidth="1"/>
    <col min="2" max="2" width="15.5" bestFit="1" customWidth="1"/>
  </cols>
  <sheetData>
    <row r="1" spans="1:3" x14ac:dyDescent="0.2">
      <c r="A1" t="s">
        <v>315</v>
      </c>
    </row>
    <row r="2" spans="1:3" x14ac:dyDescent="0.2">
      <c r="A2" t="s">
        <v>323</v>
      </c>
      <c r="B2" t="s">
        <v>324</v>
      </c>
      <c r="C2" t="s">
        <v>325</v>
      </c>
    </row>
    <row r="3" spans="1:3" x14ac:dyDescent="0.2">
      <c r="A3" t="s">
        <v>316</v>
      </c>
      <c r="B3" s="60" cm="1">
        <f t="array" ref="B3">MAX(ABS('3-Statement'!E56:I56))</f>
        <v>0</v>
      </c>
      <c r="C3" t="str">
        <f>IF(B3&lt;0.001,"OK","ERROR")</f>
        <v>OK</v>
      </c>
    </row>
    <row r="4" spans="1:3" x14ac:dyDescent="0.2">
      <c r="A4" t="s">
        <v>317</v>
      </c>
      <c r="B4" s="60" cm="1">
        <f t="array" ref="B4">MAX(ABS('3-Statement'!E87:I87))</f>
        <v>0</v>
      </c>
      <c r="C4" t="str">
        <f>IF(B4&lt;0.001,"OK","ERROR")</f>
        <v>OK</v>
      </c>
    </row>
    <row r="5" spans="1:3" x14ac:dyDescent="0.2">
      <c r="A5" t="s">
        <v>318</v>
      </c>
      <c r="B5" s="60">
        <f>ABS(LBO!B17)</f>
        <v>0</v>
      </c>
      <c r="C5" t="str">
        <f>IF(B5&lt;0.001,"OK","ERROR")</f>
        <v>OK</v>
      </c>
    </row>
    <row r="6" spans="1:3" x14ac:dyDescent="0.2">
      <c r="A6" t="s">
        <v>319</v>
      </c>
      <c r="B6" s="61">
        <f>IF(MIN(LBO!B35:F35)&gt;=0,0,1)</f>
        <v>0</v>
      </c>
      <c r="C6" t="str">
        <f>IF(B6=0,"OK","ERROR")</f>
        <v>OK</v>
      </c>
    </row>
    <row r="7" spans="1:3" x14ac:dyDescent="0.2">
      <c r="A7" t="s">
        <v>320</v>
      </c>
      <c r="B7" s="61">
        <f>IF(LBO!B15&gt;0,0,1)</f>
        <v>0</v>
      </c>
      <c r="C7" t="str">
        <f>IF(B7=0,"OK","ERROR")</f>
        <v>OK</v>
      </c>
    </row>
    <row r="8" spans="1:3" x14ac:dyDescent="0.2">
      <c r="A8" t="s">
        <v>321</v>
      </c>
      <c r="B8" s="62">
        <f>ABS(LBO!D63-LBO!B52)</f>
        <v>0</v>
      </c>
      <c r="C8" t="str">
        <f>IF(B8&lt;0.001,"OK","ERROR")</f>
        <v>OK</v>
      </c>
    </row>
    <row r="9" spans="1:3" x14ac:dyDescent="0.2">
      <c r="A9" s="43" t="s">
        <v>322</v>
      </c>
      <c r="B9" s="43" t="str">
        <f>IF(COUNTIF(C3:C8,"ERROR")=0,"MODEL OK","CHECK MODEL")</f>
        <v>MODEL OK</v>
      </c>
    </row>
  </sheetData>
  <conditionalFormatting sqref="C3:C8">
    <cfRule type="containsText" dxfId="0" priority="1" operator="containsText" text="OK">
      <formula>NOT(ISERROR(SEARCH("OK",C3)))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Sources</vt:lpstr>
      <vt:lpstr>Historicals</vt:lpstr>
      <vt:lpstr>Assumptions</vt:lpstr>
      <vt:lpstr>Operating Model</vt:lpstr>
      <vt:lpstr>3-Statement</vt:lpstr>
      <vt:lpstr>DCF</vt:lpstr>
      <vt:lpstr>Comps</vt:lpstr>
      <vt:lpstr>LBO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Fontecha, Jared Tyler</dc:creator>
  <cp:lastModifiedBy>Fontecha, Jared Tyler</cp:lastModifiedBy>
  <dcterms:created xsi:type="dcterms:W3CDTF">2026-08-24T00:50:06Z</dcterms:created>
  <dcterms:modified xsi:type="dcterms:W3CDTF">2026-08-27T03:17:59Z</dcterms:modified>
</cp:coreProperties>
</file>